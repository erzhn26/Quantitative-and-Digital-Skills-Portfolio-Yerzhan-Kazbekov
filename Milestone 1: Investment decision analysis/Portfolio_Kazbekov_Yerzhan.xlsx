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company" sheetId="1" r:id="rId5"/>
    <sheet state="visible" name="YG Entertainment" sheetId="2" r:id="rId6"/>
    <sheet state="visible" name="Combine" sheetId="3" r:id="rId7"/>
    <sheet state="visible" name="S&amp;P 500" sheetId="4" r:id="rId8"/>
    <sheet state="visible" name="Sharpe Ratio and Comparison of " sheetId="5" r:id="rId9"/>
    <sheet state="visible" name="Regression" sheetId="6" r:id="rId10"/>
  </sheets>
  <definedNames/>
  <calcPr/>
</workbook>
</file>

<file path=xl/sharedStrings.xml><?xml version="1.0" encoding="utf-8"?>
<sst xmlns="http://schemas.openxmlformats.org/spreadsheetml/2006/main" count="105" uniqueCount="82">
  <si>
    <t>Date</t>
  </si>
  <si>
    <t>Open</t>
  </si>
  <si>
    <t>High</t>
  </si>
  <si>
    <t>Low</t>
  </si>
  <si>
    <t>Close</t>
  </si>
  <si>
    <t>Adj Close</t>
  </si>
  <si>
    <t>Volume</t>
  </si>
  <si>
    <t>finance.yahoo.com</t>
  </si>
  <si>
    <t>Spotify Technology S.A. (SPOT)</t>
  </si>
  <si>
    <t>YG Entertainment Inc. (122870.KQ)</t>
  </si>
  <si>
    <t>Spotify</t>
  </si>
  <si>
    <t>122870 KQ</t>
  </si>
  <si>
    <t>Weekly return(Spot)</t>
  </si>
  <si>
    <t>Weekly return (122870 KQ)</t>
  </si>
  <si>
    <t>Data Descriptions</t>
  </si>
  <si>
    <t>Max</t>
  </si>
  <si>
    <t>MIn</t>
  </si>
  <si>
    <t>Range</t>
  </si>
  <si>
    <t>Q3</t>
  </si>
  <si>
    <t>Q1</t>
  </si>
  <si>
    <t>IQR</t>
  </si>
  <si>
    <t>Fence</t>
  </si>
  <si>
    <t>Upper Fence</t>
  </si>
  <si>
    <t>Lower fence</t>
  </si>
  <si>
    <t xml:space="preserve">Mean </t>
  </si>
  <si>
    <t>Z min</t>
  </si>
  <si>
    <t>Zmax</t>
  </si>
  <si>
    <t>Mean absolute deviation</t>
  </si>
  <si>
    <t>Sample Varience</t>
  </si>
  <si>
    <t>Sample Standard deviation</t>
  </si>
  <si>
    <t>CV</t>
  </si>
  <si>
    <t>Covarience</t>
  </si>
  <si>
    <t>Correlation</t>
  </si>
  <si>
    <t>Adj close</t>
  </si>
  <si>
    <t>Weekly return</t>
  </si>
  <si>
    <t>S&amp;P 500 (^GSPC)</t>
  </si>
  <si>
    <t>As of 12:19:14 PM EST. Market Open.</t>
  </si>
  <si>
    <t>Sharpe Ratio</t>
  </si>
  <si>
    <t>One year T.Bill</t>
  </si>
  <si>
    <t xml:space="preserve"> </t>
  </si>
  <si>
    <t>One week T.Bill</t>
  </si>
  <si>
    <t>Comparison of risk (Variance)</t>
  </si>
  <si>
    <t>V</t>
  </si>
  <si>
    <t>T</t>
  </si>
  <si>
    <t>H0:</t>
  </si>
  <si>
    <t>σ^2(T)​=σ^2(V)​</t>
  </si>
  <si>
    <t>HA:</t>
  </si>
  <si>
    <t>σ^2(T) &gt;​σ^2(V)​</t>
  </si>
  <si>
    <t>n</t>
  </si>
  <si>
    <t>df1</t>
  </si>
  <si>
    <t>df2</t>
  </si>
  <si>
    <t>F(df1, df2)</t>
  </si>
  <si>
    <t>S(T)/S(V)</t>
  </si>
  <si>
    <t>F(53, 53)</t>
  </si>
  <si>
    <t xml:space="preserve">P </t>
  </si>
  <si>
    <t>Fails to reject H0 at 5% significane level</t>
  </si>
  <si>
    <t>S&amp;P 500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</si>
  <si>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</si>
  <si>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</si>
  <si>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</si>
  <si>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</si>
  <si>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</si>
  <si>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</si>
  <si>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</si>
  <si>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</si>
  <si>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</si>
  <si>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</si>
  <si>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</si>
  <si>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</si>
  <si>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</si>
  <si>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</si>
  <si>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</si>
  <si>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</si>
  <si>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</si>
  <si>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</si>
  <si>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</si>
  <si>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</si>
  <si>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</si>
  <si>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</si>
  <si>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</si>
  <si>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Y-пересечение</t>
  </si>
  <si>
    <t>Переменная X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</si>
</sst>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19">
    <font>
      <sz val="10.0"/>
      <color rgb="FF000000"/>
      <name val="Arial"/>
      <scheme val="minor"/>
    </font>
    <font>
      <sz val="9.0"/>
      <color rgb="FF000000"/>
      <name val="&quot;GT America&quot;"/>
    </font>
    <font>
      <sz val="11.0"/>
      <color rgb="FF000000"/>
      <name val="&quot;GT America&quot;"/>
    </font>
    <font>
      <u/>
      <color rgb="FF0000FF"/>
    </font>
    <font>
      <b/>
      <sz val="18.0"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8.0"/>
      <color rgb="FF000000"/>
      <name val="Arial"/>
    </font>
    <font>
      <sz val="22.0"/>
      <color theme="1"/>
      <name val="Arial"/>
      <scheme val="minor"/>
    </font>
    <font/>
    <font>
      <sz val="10.0"/>
      <color theme="1"/>
      <name val="Arial"/>
      <scheme val="minor"/>
    </font>
    <font>
      <sz val="11.0"/>
      <color rgb="FFE3E3E3"/>
      <name val="&quot;GT America&quot;"/>
    </font>
    <font>
      <sz val="23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&quot;Aptos Narrow&quot;"/>
    </font>
    <font>
      <i/>
      <sz val="11.0"/>
      <color rgb="FF000000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CCCCCC"/>
      </left>
      <top style="thick">
        <color rgb="FFCCCCCC"/>
      </top>
    </border>
    <border>
      <right style="thick">
        <color rgb="FFCCCCCC"/>
      </right>
      <top style="thick">
        <color rgb="FFCCCCCC"/>
      </top>
    </border>
    <border>
      <left style="thick">
        <color rgb="FFCCCCCC"/>
      </left>
    </border>
    <border>
      <right style="thick">
        <color rgb="FFCCCCCC"/>
      </right>
    </border>
    <border>
      <left style="thick">
        <color rgb="FFCCCCCC"/>
      </left>
      <bottom style="thick">
        <color rgb="FFCCCCCC"/>
      </bottom>
    </border>
    <border>
      <right style="thick">
        <color rgb="FFCCCCCC"/>
      </right>
      <bottom style="thick">
        <color rgb="FFCCCCCC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3" fontId="1" numFmtId="0" xfId="0" applyAlignment="1" applyFill="1" applyFont="1">
      <alignment horizontal="right" readingOrder="0" shrinkToFit="0" wrapText="0"/>
    </xf>
    <xf borderId="0" fillId="2" fontId="2" numFmtId="164" xfId="0" applyAlignment="1" applyFont="1" applyNumberFormat="1">
      <alignment horizontal="left" readingOrder="0" shrinkToFit="0" wrapText="0"/>
    </xf>
    <xf borderId="0" fillId="2" fontId="2" numFmtId="0" xfId="0" applyAlignment="1" applyFont="1">
      <alignment horizontal="right" readingOrder="0" shrinkToFit="0" wrapText="0"/>
    </xf>
    <xf borderId="0" fillId="3" fontId="2" numFmtId="0" xfId="0" applyAlignment="1" applyFont="1">
      <alignment horizontal="right" readingOrder="0" shrinkToFit="0" wrapText="0"/>
    </xf>
    <xf borderId="0" fillId="2" fontId="2" numFmtId="3" xfId="0" applyAlignment="1" applyFont="1" applyNumberFormat="1">
      <alignment horizontal="right"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164" xfId="0" applyFont="1" applyNumberFormat="1"/>
    <xf borderId="0" fillId="2" fontId="5" numFmtId="0" xfId="0" applyFont="1"/>
    <xf borderId="0" fillId="3" fontId="5" numFmtId="0" xfId="0" applyFont="1"/>
    <xf borderId="0" fillId="0" fontId="6" numFmtId="164" xfId="0" applyFont="1" applyNumberFormat="1"/>
    <xf borderId="0" fillId="3" fontId="6" numFmtId="0" xfId="0" applyFont="1"/>
    <xf borderId="0" fillId="2" fontId="2" numFmtId="4" xfId="0" applyAlignment="1" applyFont="1" applyNumberFormat="1">
      <alignment horizontal="right" readingOrder="0" shrinkToFit="0" wrapText="0"/>
    </xf>
    <xf borderId="0" fillId="3" fontId="2" numFmtId="4" xfId="0" applyAlignment="1" applyFont="1" applyNumberFormat="1">
      <alignment horizontal="right" readingOrder="0" shrinkToFit="0" wrapText="0"/>
    </xf>
    <xf borderId="0" fillId="2" fontId="7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4" fontId="6" numFmtId="10" xfId="0" applyAlignment="1" applyFont="1" applyNumberFormat="1">
      <alignment readingOrder="0"/>
    </xf>
    <xf borderId="0" fillId="5" fontId="6" numFmtId="10" xfId="0" applyAlignment="1" applyFont="1" applyNumberFormat="1">
      <alignment readingOrder="0"/>
    </xf>
    <xf borderId="1" fillId="6" fontId="8" numFmtId="0" xfId="0" applyAlignment="1" applyBorder="1" applyFill="1" applyFont="1">
      <alignment readingOrder="0"/>
    </xf>
    <xf borderId="2" fillId="0" fontId="9" numFmtId="0" xfId="0" applyBorder="1" applyFont="1"/>
    <xf borderId="3" fillId="0" fontId="9" numFmtId="0" xfId="0" applyBorder="1" applyFont="1"/>
    <xf borderId="0" fillId="0" fontId="6" numFmtId="10" xfId="0" applyFont="1" applyNumberFormat="1"/>
    <xf borderId="4" fillId="2" fontId="8" numFmtId="0" xfId="0" applyAlignment="1" applyBorder="1" applyFont="1">
      <alignment readingOrder="0"/>
    </xf>
    <xf borderId="5" fillId="2" fontId="10" numFmtId="0" xfId="0" applyAlignment="1" applyBorder="1" applyFont="1">
      <alignment readingOrder="0"/>
    </xf>
    <xf borderId="6" fillId="2" fontId="10" numFmtId="0" xfId="0" applyAlignment="1" applyBorder="1" applyFont="1">
      <alignment readingOrder="0"/>
    </xf>
    <xf borderId="1" fillId="0" fontId="6" numFmtId="0" xfId="0" applyBorder="1" applyFont="1"/>
    <xf borderId="2" fillId="0" fontId="6" numFmtId="0" xfId="0" applyBorder="1" applyFont="1"/>
    <xf borderId="3" fillId="0" fontId="6" numFmtId="0" xfId="0" applyBorder="1" applyFont="1"/>
    <xf borderId="7" fillId="0" fontId="6" numFmtId="0" xfId="0" applyAlignment="1" applyBorder="1" applyFont="1">
      <alignment readingOrder="0"/>
    </xf>
    <xf borderId="8" fillId="0" fontId="6" numFmtId="10" xfId="0" applyBorder="1" applyFont="1" applyNumberFormat="1"/>
    <xf borderId="7" fillId="0" fontId="6" numFmtId="0" xfId="0" applyBorder="1" applyFont="1"/>
    <xf borderId="8" fillId="0" fontId="6" numFmtId="0" xfId="0" applyBorder="1" applyFont="1"/>
    <xf borderId="0" fillId="0" fontId="6" numFmtId="4" xfId="0" applyFont="1" applyNumberFormat="1"/>
    <xf borderId="8" fillId="0" fontId="6" numFmtId="4" xfId="0" applyBorder="1" applyFont="1" applyNumberFormat="1"/>
    <xf borderId="8" fillId="0" fontId="6" numFmtId="10" xfId="0" applyAlignment="1" applyBorder="1" applyFont="1" applyNumberFormat="1">
      <alignment readingOrder="0"/>
    </xf>
    <xf borderId="4" fillId="0" fontId="6" numFmtId="0" xfId="0" applyAlignment="1" applyBorder="1" applyFont="1">
      <alignment readingOrder="0"/>
    </xf>
    <xf borderId="5" fillId="0" fontId="6" numFmtId="4" xfId="0" applyBorder="1" applyFont="1" applyNumberFormat="1"/>
    <xf borderId="6" fillId="0" fontId="6" numFmtId="4" xfId="0" applyBorder="1" applyFont="1" applyNumberFormat="1"/>
    <xf borderId="1" fillId="0" fontId="6" numFmtId="0" xfId="0" applyAlignment="1" applyBorder="1" applyFont="1">
      <alignment readingOrder="0"/>
    </xf>
    <xf borderId="3" fillId="0" fontId="6" numFmtId="165" xfId="0" applyBorder="1" applyFont="1" applyNumberFormat="1"/>
    <xf borderId="6" fillId="0" fontId="6" numFmtId="165" xfId="0" applyBorder="1" applyFont="1" applyNumberFormat="1"/>
    <xf borderId="0" fillId="0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6" numFmtId="10" xfId="0" applyFont="1" applyNumberFormat="1"/>
    <xf borderId="0" fillId="2" fontId="11" numFmtId="0" xfId="0" applyFont="1"/>
    <xf borderId="0" fillId="2" fontId="1" numFmtId="0" xfId="0" applyAlignment="1" applyFont="1">
      <alignment readingOrder="0" shrinkToFit="0" wrapText="0"/>
    </xf>
    <xf borderId="1" fillId="0" fontId="12" numFmtId="0" xfId="0" applyAlignment="1" applyBorder="1" applyFont="1">
      <alignment readingOrder="0"/>
    </xf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0" fillId="0" fontId="6" numFmtId="9" xfId="0" applyFont="1" applyNumberFormat="1"/>
    <xf borderId="8" fillId="0" fontId="6" numFmtId="9" xfId="0" applyBorder="1" applyFont="1" applyNumberFormat="1"/>
    <xf borderId="0" fillId="0" fontId="13" numFmtId="10" xfId="0" applyAlignment="1" applyFont="1" applyNumberFormat="1">
      <alignment readingOrder="0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9" fillId="7" fontId="14" numFmtId="0" xfId="0" applyAlignment="1" applyBorder="1" applyFill="1" applyFont="1">
      <alignment horizontal="center"/>
    </xf>
    <xf borderId="10" fillId="0" fontId="9" numFmtId="0" xfId="0" applyBorder="1" applyFont="1"/>
    <xf borderId="11" fillId="0" fontId="15" numFmtId="0" xfId="0" applyAlignment="1" applyBorder="1" applyFont="1">
      <alignment readingOrder="0" vertical="bottom"/>
    </xf>
    <xf borderId="12" fillId="0" fontId="15" numFmtId="0" xfId="0" applyAlignment="1" applyBorder="1" applyFont="1">
      <alignment horizontal="center" vertical="bottom"/>
    </xf>
    <xf borderId="0" fillId="2" fontId="13" numFmtId="0" xfId="0" applyAlignment="1" applyFont="1">
      <alignment readingOrder="0"/>
    </xf>
    <xf borderId="11" fillId="0" fontId="15" numFmtId="0" xfId="0" applyAlignment="1" applyBorder="1" applyFont="1">
      <alignment vertical="bottom"/>
    </xf>
    <xf borderId="11" fillId="0" fontId="16" numFmtId="0" xfId="0" applyAlignment="1" applyBorder="1" applyFont="1">
      <alignment vertical="bottom"/>
    </xf>
    <xf borderId="12" fillId="0" fontId="16" numFmtId="0" xfId="0" applyAlignment="1" applyBorder="1" applyFont="1">
      <alignment vertical="bottom"/>
    </xf>
    <xf borderId="12" fillId="0" fontId="15" numFmtId="0" xfId="0" applyAlignment="1" applyBorder="1" applyFont="1">
      <alignment horizontal="right" vertical="bottom"/>
    </xf>
    <xf borderId="12" fillId="0" fontId="15" numFmtId="4" xfId="0" applyAlignment="1" applyBorder="1" applyFont="1" applyNumberFormat="1">
      <alignment horizontal="right" vertical="bottom"/>
    </xf>
    <xf borderId="12" fillId="6" fontId="15" numFmtId="165" xfId="0" applyAlignment="1" applyBorder="1" applyFont="1" applyNumberFormat="1">
      <alignment horizontal="right" vertical="bottom"/>
    </xf>
    <xf borderId="13" fillId="6" fontId="16" numFmtId="0" xfId="0" applyAlignment="1" applyBorder="1" applyFont="1">
      <alignment horizontal="center" readingOrder="0" vertical="bottom"/>
    </xf>
    <xf borderId="14" fillId="0" fontId="9" numFmtId="0" xfId="0" applyBorder="1" applyFont="1"/>
    <xf borderId="0" fillId="0" fontId="6" numFmtId="164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0" fontId="6" numFmtId="0" xfId="0" applyFont="1"/>
    <xf borderId="0" fillId="2" fontId="6" numFmtId="10" xfId="0" applyAlignment="1" applyFont="1" applyNumberFormat="1">
      <alignment readingOrder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15" fillId="0" fontId="18" numFmtId="0" xfId="0" applyAlignment="1" applyBorder="1" applyFont="1">
      <alignment horizontal="center" readingOrder="0" shrinkToFit="0" vertical="bottom" wrapText="0"/>
    </xf>
    <xf borderId="15" fillId="0" fontId="9" numFmtId="0" xfId="0" applyBorder="1" applyFont="1"/>
    <xf borderId="0" fillId="0" fontId="17" numFmtId="0" xfId="0" applyAlignment="1" applyFont="1">
      <alignment horizontal="right" readingOrder="0" shrinkToFit="0" vertical="bottom" wrapText="0"/>
    </xf>
    <xf borderId="5" fillId="0" fontId="17" numFmtId="0" xfId="0" applyAlignment="1" applyBorder="1" applyFont="1">
      <alignment readingOrder="0" shrinkToFit="0" vertical="bottom" wrapText="0"/>
    </xf>
    <xf borderId="5" fillId="0" fontId="17" numFmtId="0" xfId="0" applyAlignment="1" applyBorder="1" applyFont="1">
      <alignment horizontal="right" readingOrder="0" shrinkToFit="0" vertical="bottom" wrapText="0"/>
    </xf>
    <xf borderId="15" fillId="0" fontId="18" numFmtId="0" xfId="0" applyAlignment="1" applyBorder="1" applyFont="1">
      <alignment horizontal="center" shrinkToFit="0" vertical="bottom" wrapText="0"/>
    </xf>
    <xf borderId="5" fillId="0" fontId="17" numFmtId="0" xfId="0" applyAlignment="1" applyBorder="1" applyFont="1">
      <alignment shrinkToFit="0" vertical="bottom" wrapText="0"/>
    </xf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790575</xdr:colOff>
      <xdr:row>1</xdr:row>
      <xdr:rowOff>219075</xdr:rowOff>
    </xdr:from>
    <xdr:ext cx="5715000" cy="3533775"/>
    <xdr:pic>
      <xdr:nvPicPr>
        <xdr:cNvPr id="166815392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SPOT/history/?period1=1741250074&amp;period2=1772785927&amp;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122870.KQ/history/?period1=1741250657&amp;period2=1772786654&amp;frequency=1w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>
      <c r="A2" s="4">
        <v>46086.0</v>
      </c>
      <c r="B2" s="5">
        <v>537.5</v>
      </c>
      <c r="C2" s="5">
        <v>554.44</v>
      </c>
      <c r="D2" s="5">
        <v>533.11</v>
      </c>
      <c r="E2" s="5">
        <v>552.12</v>
      </c>
      <c r="F2" s="6">
        <v>552.12</v>
      </c>
      <c r="G2" s="7">
        <v>2755207.0</v>
      </c>
      <c r="I2" s="8" t="s">
        <v>7</v>
      </c>
    </row>
    <row r="3">
      <c r="A3" s="4">
        <v>46083.0</v>
      </c>
      <c r="B3" s="5">
        <v>505.35</v>
      </c>
      <c r="C3" s="5">
        <v>554.44</v>
      </c>
      <c r="D3" s="5">
        <v>492.0</v>
      </c>
      <c r="E3" s="5">
        <v>552.12</v>
      </c>
      <c r="F3" s="6">
        <v>552.12</v>
      </c>
      <c r="G3" s="7">
        <v>1.12529E7</v>
      </c>
    </row>
    <row r="4">
      <c r="A4" s="4">
        <v>46076.0</v>
      </c>
      <c r="B4" s="5">
        <v>483.78</v>
      </c>
      <c r="C4" s="5">
        <v>515.98</v>
      </c>
      <c r="D4" s="5">
        <v>453.68</v>
      </c>
      <c r="E4" s="5">
        <v>514.94</v>
      </c>
      <c r="F4" s="6">
        <v>514.94</v>
      </c>
      <c r="G4" s="7">
        <v>1.46418E7</v>
      </c>
      <c r="I4" s="9" t="s">
        <v>8</v>
      </c>
    </row>
    <row r="5">
      <c r="A5" s="4">
        <v>46069.0</v>
      </c>
      <c r="B5" s="5">
        <v>461.95</v>
      </c>
      <c r="C5" s="5">
        <v>497.52</v>
      </c>
      <c r="D5" s="5">
        <v>455.34</v>
      </c>
      <c r="E5" s="5">
        <v>490.6</v>
      </c>
      <c r="F5" s="6">
        <v>490.6</v>
      </c>
      <c r="G5" s="7">
        <v>1.17773E7</v>
      </c>
    </row>
    <row r="6">
      <c r="A6" s="4">
        <v>46062.0</v>
      </c>
      <c r="B6" s="5">
        <v>430.82</v>
      </c>
      <c r="C6" s="5">
        <v>504.83</v>
      </c>
      <c r="D6" s="5">
        <v>410.21</v>
      </c>
      <c r="E6" s="5">
        <v>458.34</v>
      </c>
      <c r="F6" s="6">
        <v>458.34</v>
      </c>
      <c r="G6" s="7">
        <v>3.15567E7</v>
      </c>
    </row>
    <row r="7">
      <c r="A7" s="4">
        <v>46055.0</v>
      </c>
      <c r="B7" s="5">
        <v>497.02</v>
      </c>
      <c r="C7" s="5">
        <v>512.28</v>
      </c>
      <c r="D7" s="5">
        <v>405.0</v>
      </c>
      <c r="E7" s="5">
        <v>422.61</v>
      </c>
      <c r="F7" s="6">
        <v>422.61</v>
      </c>
      <c r="G7" s="7">
        <v>2.57123E7</v>
      </c>
    </row>
    <row r="8">
      <c r="A8" s="4">
        <v>46048.0</v>
      </c>
      <c r="B8" s="5">
        <v>516.02</v>
      </c>
      <c r="C8" s="5">
        <v>520.0</v>
      </c>
      <c r="D8" s="5">
        <v>493.31</v>
      </c>
      <c r="E8" s="5">
        <v>500.35</v>
      </c>
      <c r="F8" s="6">
        <v>500.35</v>
      </c>
      <c r="G8" s="7">
        <v>9168800.0</v>
      </c>
    </row>
    <row r="9">
      <c r="A9" s="4">
        <v>46041.0</v>
      </c>
      <c r="B9" s="5">
        <v>504.26</v>
      </c>
      <c r="C9" s="5">
        <v>516.98</v>
      </c>
      <c r="D9" s="5">
        <v>491.3</v>
      </c>
      <c r="E9" s="5">
        <v>513.21</v>
      </c>
      <c r="F9" s="6">
        <v>513.21</v>
      </c>
      <c r="G9" s="7">
        <v>1.17488E7</v>
      </c>
    </row>
    <row r="10">
      <c r="A10" s="4">
        <v>46034.0</v>
      </c>
      <c r="B10" s="5">
        <v>539.46</v>
      </c>
      <c r="C10" s="5">
        <v>548.55</v>
      </c>
      <c r="D10" s="5">
        <v>500.82</v>
      </c>
      <c r="E10" s="5">
        <v>504.5</v>
      </c>
      <c r="F10" s="6">
        <v>504.5</v>
      </c>
      <c r="G10" s="7">
        <v>1.67187E7</v>
      </c>
    </row>
    <row r="11">
      <c r="A11" s="4">
        <v>46027.0</v>
      </c>
      <c r="B11" s="5">
        <v>582.25</v>
      </c>
      <c r="C11" s="5">
        <v>609.2</v>
      </c>
      <c r="D11" s="5">
        <v>536.13</v>
      </c>
      <c r="E11" s="5">
        <v>539.37</v>
      </c>
      <c r="F11" s="6">
        <v>539.37</v>
      </c>
      <c r="G11" s="7">
        <v>1.23674E7</v>
      </c>
    </row>
    <row r="12">
      <c r="A12" s="4">
        <v>46020.0</v>
      </c>
      <c r="B12" s="5">
        <v>583.88</v>
      </c>
      <c r="C12" s="5">
        <v>586.53</v>
      </c>
      <c r="D12" s="5">
        <v>570.79</v>
      </c>
      <c r="E12" s="5">
        <v>575.0</v>
      </c>
      <c r="F12" s="6">
        <v>575.0</v>
      </c>
      <c r="G12" s="7">
        <v>4338300.0</v>
      </c>
    </row>
    <row r="13">
      <c r="A13" s="4">
        <v>46013.0</v>
      </c>
      <c r="B13" s="5">
        <v>580.0</v>
      </c>
      <c r="C13" s="5">
        <v>588.52</v>
      </c>
      <c r="D13" s="5">
        <v>576.31</v>
      </c>
      <c r="E13" s="5">
        <v>584.35</v>
      </c>
      <c r="F13" s="6">
        <v>584.35</v>
      </c>
      <c r="G13" s="7">
        <v>3185700.0</v>
      </c>
    </row>
    <row r="14">
      <c r="A14" s="4">
        <v>46006.0</v>
      </c>
      <c r="B14" s="5">
        <v>595.75</v>
      </c>
      <c r="C14" s="5">
        <v>596.99</v>
      </c>
      <c r="D14" s="5">
        <v>562.28</v>
      </c>
      <c r="E14" s="5">
        <v>582.16</v>
      </c>
      <c r="F14" s="6">
        <v>582.16</v>
      </c>
      <c r="G14" s="7">
        <v>8639400.0</v>
      </c>
    </row>
    <row r="15">
      <c r="A15" s="4">
        <v>45999.0</v>
      </c>
      <c r="B15" s="5">
        <v>566.0</v>
      </c>
      <c r="C15" s="5">
        <v>619.96</v>
      </c>
      <c r="D15" s="5">
        <v>548.73</v>
      </c>
      <c r="E15" s="5">
        <v>597.8</v>
      </c>
      <c r="F15" s="6">
        <v>597.8</v>
      </c>
      <c r="G15" s="7">
        <v>1.20438E7</v>
      </c>
    </row>
    <row r="16">
      <c r="A16" s="4">
        <v>45992.0</v>
      </c>
      <c r="B16" s="5">
        <v>594.16</v>
      </c>
      <c r="C16" s="5">
        <v>595.42</v>
      </c>
      <c r="D16" s="5">
        <v>550.12</v>
      </c>
      <c r="E16" s="5">
        <v>564.93</v>
      </c>
      <c r="F16" s="6">
        <v>564.93</v>
      </c>
      <c r="G16" s="7">
        <v>1.11952E7</v>
      </c>
    </row>
    <row r="17">
      <c r="A17" s="4">
        <v>45985.0</v>
      </c>
      <c r="B17" s="5">
        <v>582.61</v>
      </c>
      <c r="C17" s="5">
        <v>603.19</v>
      </c>
      <c r="D17" s="5">
        <v>567.53</v>
      </c>
      <c r="E17" s="5">
        <v>598.87</v>
      </c>
      <c r="F17" s="6">
        <v>598.87</v>
      </c>
      <c r="G17" s="7">
        <v>9548200.0</v>
      </c>
    </row>
    <row r="18">
      <c r="A18" s="4">
        <v>45978.0</v>
      </c>
      <c r="B18" s="5">
        <v>633.26</v>
      </c>
      <c r="C18" s="5">
        <v>644.57</v>
      </c>
      <c r="D18" s="5">
        <v>581.45</v>
      </c>
      <c r="E18" s="5">
        <v>583.61</v>
      </c>
      <c r="F18" s="6">
        <v>583.61</v>
      </c>
      <c r="G18" s="7">
        <v>7818200.0</v>
      </c>
    </row>
    <row r="19">
      <c r="A19" s="4">
        <v>45971.0</v>
      </c>
      <c r="B19" s="5">
        <v>620.0</v>
      </c>
      <c r="C19" s="5">
        <v>668.49</v>
      </c>
      <c r="D19" s="5">
        <v>614.79</v>
      </c>
      <c r="E19" s="5">
        <v>635.75</v>
      </c>
      <c r="F19" s="6">
        <v>635.75</v>
      </c>
      <c r="G19" s="7">
        <v>7712100.0</v>
      </c>
    </row>
    <row r="20">
      <c r="A20" s="4">
        <v>45964.0</v>
      </c>
      <c r="B20" s="5">
        <v>653.15</v>
      </c>
      <c r="C20" s="5">
        <v>661.69</v>
      </c>
      <c r="D20" s="5">
        <v>603.15</v>
      </c>
      <c r="E20" s="5">
        <v>616.91</v>
      </c>
      <c r="F20" s="6">
        <v>616.91</v>
      </c>
      <c r="G20" s="7">
        <v>1.41077E7</v>
      </c>
    </row>
    <row r="21">
      <c r="A21" s="4">
        <v>45957.0</v>
      </c>
      <c r="B21" s="5">
        <v>648.44</v>
      </c>
      <c r="C21" s="5">
        <v>673.16</v>
      </c>
      <c r="D21" s="5">
        <v>640.4</v>
      </c>
      <c r="E21" s="5">
        <v>655.32</v>
      </c>
      <c r="F21" s="6">
        <v>655.32</v>
      </c>
      <c r="G21" s="7">
        <v>8283500.0</v>
      </c>
    </row>
    <row r="22">
      <c r="A22" s="4">
        <v>45950.0</v>
      </c>
      <c r="B22" s="5">
        <v>670.13</v>
      </c>
      <c r="C22" s="5">
        <v>696.95</v>
      </c>
      <c r="D22" s="5">
        <v>644.83</v>
      </c>
      <c r="E22" s="5">
        <v>645.78</v>
      </c>
      <c r="F22" s="6">
        <v>645.78</v>
      </c>
      <c r="G22" s="7">
        <v>7727700.0</v>
      </c>
    </row>
    <row r="23">
      <c r="A23" s="4">
        <v>45943.0</v>
      </c>
      <c r="B23" s="5">
        <v>680.08</v>
      </c>
      <c r="C23" s="5">
        <v>700.12</v>
      </c>
      <c r="D23" s="5">
        <v>656.25</v>
      </c>
      <c r="E23" s="5">
        <v>671.52</v>
      </c>
      <c r="F23" s="6">
        <v>671.52</v>
      </c>
      <c r="G23" s="7">
        <v>5851700.0</v>
      </c>
    </row>
    <row r="24">
      <c r="A24" s="4">
        <v>45936.0</v>
      </c>
      <c r="B24" s="5">
        <v>684.27</v>
      </c>
      <c r="C24" s="5">
        <v>698.85</v>
      </c>
      <c r="D24" s="5">
        <v>666.0</v>
      </c>
      <c r="E24" s="5">
        <v>685.29</v>
      </c>
      <c r="F24" s="6">
        <v>685.29</v>
      </c>
      <c r="G24" s="7">
        <v>6518600.0</v>
      </c>
    </row>
    <row r="25">
      <c r="A25" s="4">
        <v>45929.0</v>
      </c>
      <c r="B25" s="5">
        <v>726.91</v>
      </c>
      <c r="C25" s="5">
        <v>740.0</v>
      </c>
      <c r="D25" s="5">
        <v>677.99</v>
      </c>
      <c r="E25" s="5">
        <v>680.5</v>
      </c>
      <c r="F25" s="6">
        <v>680.5</v>
      </c>
      <c r="G25" s="7">
        <v>1.03472E7</v>
      </c>
    </row>
    <row r="26">
      <c r="A26" s="4">
        <v>45922.0</v>
      </c>
      <c r="B26" s="5">
        <v>730.25</v>
      </c>
      <c r="C26" s="5">
        <v>740.2</v>
      </c>
      <c r="D26" s="5">
        <v>695.97</v>
      </c>
      <c r="E26" s="5">
        <v>716.53</v>
      </c>
      <c r="F26" s="6">
        <v>716.53</v>
      </c>
      <c r="G26" s="7">
        <v>5822900.0</v>
      </c>
    </row>
    <row r="27">
      <c r="A27" s="4">
        <v>45915.0</v>
      </c>
      <c r="B27" s="5">
        <v>698.87</v>
      </c>
      <c r="C27" s="5">
        <v>745.0</v>
      </c>
      <c r="D27" s="5">
        <v>688.96</v>
      </c>
      <c r="E27" s="5">
        <v>734.92</v>
      </c>
      <c r="F27" s="6">
        <v>734.92</v>
      </c>
      <c r="G27" s="7">
        <v>8011200.0</v>
      </c>
    </row>
    <row r="28">
      <c r="A28" s="4">
        <v>45908.0</v>
      </c>
      <c r="B28" s="5">
        <v>710.9</v>
      </c>
      <c r="C28" s="5">
        <v>727.0</v>
      </c>
      <c r="D28" s="5">
        <v>677.07</v>
      </c>
      <c r="E28" s="5">
        <v>696.4</v>
      </c>
      <c r="F28" s="6">
        <v>696.4</v>
      </c>
      <c r="G28" s="7">
        <v>6633900.0</v>
      </c>
    </row>
    <row r="29">
      <c r="A29" s="4">
        <v>45901.0</v>
      </c>
      <c r="B29" s="5">
        <v>669.81</v>
      </c>
      <c r="C29" s="5">
        <v>716.5</v>
      </c>
      <c r="D29" s="5">
        <v>663.06</v>
      </c>
      <c r="E29" s="5">
        <v>707.19</v>
      </c>
      <c r="F29" s="6">
        <v>707.19</v>
      </c>
      <c r="G29" s="7">
        <v>4726800.0</v>
      </c>
    </row>
    <row r="30">
      <c r="A30" s="4">
        <v>45894.0</v>
      </c>
      <c r="B30" s="5">
        <v>699.09</v>
      </c>
      <c r="C30" s="5">
        <v>714.8</v>
      </c>
      <c r="D30" s="5">
        <v>673.5</v>
      </c>
      <c r="E30" s="5">
        <v>681.88</v>
      </c>
      <c r="F30" s="6">
        <v>681.88</v>
      </c>
      <c r="G30" s="7">
        <v>5924600.0</v>
      </c>
    </row>
    <row r="31">
      <c r="A31" s="4">
        <v>45887.0</v>
      </c>
      <c r="B31" s="5">
        <v>734.0</v>
      </c>
      <c r="C31" s="5">
        <v>743.78</v>
      </c>
      <c r="D31" s="5">
        <v>679.99</v>
      </c>
      <c r="E31" s="5">
        <v>692.99</v>
      </c>
      <c r="F31" s="6">
        <v>692.99</v>
      </c>
      <c r="G31" s="7">
        <v>7163900.0</v>
      </c>
    </row>
    <row r="32">
      <c r="A32" s="4">
        <v>45880.0</v>
      </c>
      <c r="B32" s="5">
        <v>705.0</v>
      </c>
      <c r="C32" s="5">
        <v>748.3</v>
      </c>
      <c r="D32" s="5">
        <v>673.77</v>
      </c>
      <c r="E32" s="5">
        <v>732.81</v>
      </c>
      <c r="F32" s="6">
        <v>732.81</v>
      </c>
      <c r="G32" s="7">
        <v>8245500.0</v>
      </c>
    </row>
    <row r="33">
      <c r="A33" s="4">
        <v>45873.0</v>
      </c>
      <c r="B33" s="5">
        <v>661.0</v>
      </c>
      <c r="C33" s="5">
        <v>717.27</v>
      </c>
      <c r="D33" s="5">
        <v>637.43</v>
      </c>
      <c r="E33" s="5">
        <v>705.89</v>
      </c>
      <c r="F33" s="6">
        <v>705.89</v>
      </c>
      <c r="G33" s="7">
        <v>1.29159E7</v>
      </c>
    </row>
    <row r="34">
      <c r="A34" s="4">
        <v>45866.0</v>
      </c>
      <c r="B34" s="5">
        <v>686.22</v>
      </c>
      <c r="C34" s="5">
        <v>710.0</v>
      </c>
      <c r="D34" s="5">
        <v>615.63</v>
      </c>
      <c r="E34" s="5">
        <v>627.15</v>
      </c>
      <c r="F34" s="6">
        <v>627.15</v>
      </c>
      <c r="G34" s="7">
        <v>2.55809E7</v>
      </c>
    </row>
    <row r="35">
      <c r="A35" s="4">
        <v>45859.0</v>
      </c>
      <c r="B35" s="5">
        <v>692.75</v>
      </c>
      <c r="C35" s="5">
        <v>713.17</v>
      </c>
      <c r="D35" s="5">
        <v>665.25</v>
      </c>
      <c r="E35" s="5">
        <v>693.1</v>
      </c>
      <c r="F35" s="6">
        <v>693.1</v>
      </c>
      <c r="G35" s="7">
        <v>9191500.0</v>
      </c>
    </row>
    <row r="36">
      <c r="A36" s="4">
        <v>45852.0</v>
      </c>
      <c r="B36" s="5">
        <v>711.89</v>
      </c>
      <c r="C36" s="5">
        <v>724.78</v>
      </c>
      <c r="D36" s="5">
        <v>685.47</v>
      </c>
      <c r="E36" s="5">
        <v>695.48</v>
      </c>
      <c r="F36" s="6">
        <v>695.48</v>
      </c>
      <c r="G36" s="7">
        <v>8211000.0</v>
      </c>
    </row>
    <row r="37">
      <c r="A37" s="4">
        <v>45845.0</v>
      </c>
      <c r="B37" s="5">
        <v>721.72</v>
      </c>
      <c r="C37" s="5">
        <v>743.99</v>
      </c>
      <c r="D37" s="5">
        <v>699.0</v>
      </c>
      <c r="E37" s="5">
        <v>709.15</v>
      </c>
      <c r="F37" s="6">
        <v>709.15</v>
      </c>
      <c r="G37" s="7">
        <v>7298600.0</v>
      </c>
    </row>
    <row r="38">
      <c r="A38" s="4">
        <v>45838.0</v>
      </c>
      <c r="B38" s="5">
        <v>776.99</v>
      </c>
      <c r="C38" s="5">
        <v>778.33</v>
      </c>
      <c r="D38" s="5">
        <v>703.98</v>
      </c>
      <c r="E38" s="5">
        <v>725.05</v>
      </c>
      <c r="F38" s="6">
        <v>725.05</v>
      </c>
      <c r="G38" s="7">
        <v>8526400.0</v>
      </c>
    </row>
    <row r="39">
      <c r="A39" s="4">
        <v>45831.0</v>
      </c>
      <c r="B39" s="5">
        <v>707.18</v>
      </c>
      <c r="C39" s="5">
        <v>785.0</v>
      </c>
      <c r="D39" s="5">
        <v>702.0</v>
      </c>
      <c r="E39" s="5">
        <v>772.6</v>
      </c>
      <c r="F39" s="6">
        <v>772.6</v>
      </c>
      <c r="G39" s="7">
        <v>9955400.0</v>
      </c>
    </row>
    <row r="40">
      <c r="A40" s="4">
        <v>45824.0</v>
      </c>
      <c r="B40" s="5">
        <v>709.15</v>
      </c>
      <c r="C40" s="5">
        <v>728.8</v>
      </c>
      <c r="D40" s="5">
        <v>703.48</v>
      </c>
      <c r="E40" s="5">
        <v>707.42</v>
      </c>
      <c r="F40" s="6">
        <v>707.42</v>
      </c>
      <c r="G40" s="7">
        <v>5570300.0</v>
      </c>
    </row>
    <row r="41">
      <c r="A41" s="4">
        <v>45817.0</v>
      </c>
      <c r="B41" s="5">
        <v>708.69</v>
      </c>
      <c r="C41" s="5">
        <v>714.71</v>
      </c>
      <c r="D41" s="5">
        <v>672.36</v>
      </c>
      <c r="E41" s="5">
        <v>710.85</v>
      </c>
      <c r="F41" s="6">
        <v>710.85</v>
      </c>
      <c r="G41" s="7">
        <v>6226500.0</v>
      </c>
    </row>
    <row r="42">
      <c r="A42" s="4">
        <v>45810.0</v>
      </c>
      <c r="B42" s="5">
        <v>660.0</v>
      </c>
      <c r="C42" s="5">
        <v>717.87</v>
      </c>
      <c r="D42" s="5">
        <v>656.84</v>
      </c>
      <c r="E42" s="5">
        <v>712.26</v>
      </c>
      <c r="F42" s="6">
        <v>712.26</v>
      </c>
      <c r="G42" s="7">
        <v>8825700.0</v>
      </c>
    </row>
    <row r="43">
      <c r="A43" s="4">
        <v>45803.0</v>
      </c>
      <c r="B43" s="5">
        <v>655.98</v>
      </c>
      <c r="C43" s="5">
        <v>671.24</v>
      </c>
      <c r="D43" s="5">
        <v>634.26</v>
      </c>
      <c r="E43" s="5">
        <v>665.14</v>
      </c>
      <c r="F43" s="6">
        <v>665.14</v>
      </c>
      <c r="G43" s="7">
        <v>8112800.0</v>
      </c>
    </row>
    <row r="44">
      <c r="A44" s="4">
        <v>45796.0</v>
      </c>
      <c r="B44" s="5">
        <v>649.0</v>
      </c>
      <c r="C44" s="5">
        <v>669.0</v>
      </c>
      <c r="D44" s="5">
        <v>628.9</v>
      </c>
      <c r="E44" s="5">
        <v>653.82</v>
      </c>
      <c r="F44" s="6">
        <v>653.82</v>
      </c>
      <c r="G44" s="7">
        <v>9916300.0</v>
      </c>
    </row>
    <row r="45">
      <c r="A45" s="4">
        <v>45789.0</v>
      </c>
      <c r="B45" s="5">
        <v>627.93</v>
      </c>
      <c r="C45" s="5">
        <v>658.52</v>
      </c>
      <c r="D45" s="5">
        <v>602.0</v>
      </c>
      <c r="E45" s="5">
        <v>656.3</v>
      </c>
      <c r="F45" s="6">
        <v>656.3</v>
      </c>
      <c r="G45" s="7">
        <v>1.21373E7</v>
      </c>
    </row>
    <row r="46">
      <c r="A46" s="4">
        <v>45782.0</v>
      </c>
      <c r="B46" s="5">
        <v>628.58</v>
      </c>
      <c r="C46" s="5">
        <v>663.55</v>
      </c>
      <c r="D46" s="5">
        <v>625.61</v>
      </c>
      <c r="E46" s="5">
        <v>648.25</v>
      </c>
      <c r="F46" s="6">
        <v>648.25</v>
      </c>
      <c r="G46" s="7">
        <v>8579500.0</v>
      </c>
    </row>
    <row r="47">
      <c r="A47" s="4">
        <v>45775.0</v>
      </c>
      <c r="B47" s="5">
        <v>627.5</v>
      </c>
      <c r="C47" s="5">
        <v>653.32</v>
      </c>
      <c r="D47" s="5">
        <v>540.1</v>
      </c>
      <c r="E47" s="5">
        <v>644.0</v>
      </c>
      <c r="F47" s="6">
        <v>644.0</v>
      </c>
      <c r="G47" s="7">
        <v>2.56246E7</v>
      </c>
    </row>
    <row r="48">
      <c r="A48" s="4">
        <v>45768.0</v>
      </c>
      <c r="B48" s="5">
        <v>584.0</v>
      </c>
      <c r="C48" s="5">
        <v>624.09</v>
      </c>
      <c r="D48" s="5">
        <v>555.6</v>
      </c>
      <c r="E48" s="5">
        <v>620.72</v>
      </c>
      <c r="F48" s="6">
        <v>620.72</v>
      </c>
      <c r="G48" s="7">
        <v>1.05123E7</v>
      </c>
    </row>
    <row r="49">
      <c r="A49" s="4">
        <v>45761.0</v>
      </c>
      <c r="B49" s="5">
        <v>562.0</v>
      </c>
      <c r="C49" s="5">
        <v>578.45</v>
      </c>
      <c r="D49" s="5">
        <v>539.66</v>
      </c>
      <c r="E49" s="5">
        <v>574.25</v>
      </c>
      <c r="F49" s="6">
        <v>574.25</v>
      </c>
      <c r="G49" s="7">
        <v>8038800.0</v>
      </c>
    </row>
    <row r="50">
      <c r="A50" s="4">
        <v>45754.0</v>
      </c>
      <c r="B50" s="5">
        <v>477.51</v>
      </c>
      <c r="C50" s="5">
        <v>577.31</v>
      </c>
      <c r="D50" s="5">
        <v>475.01</v>
      </c>
      <c r="E50" s="5">
        <v>543.66</v>
      </c>
      <c r="F50" s="6">
        <v>543.66</v>
      </c>
      <c r="G50" s="7">
        <v>1.48636E7</v>
      </c>
    </row>
    <row r="51">
      <c r="A51" s="4">
        <v>45747.0</v>
      </c>
      <c r="B51" s="5">
        <v>545.0</v>
      </c>
      <c r="C51" s="5">
        <v>578.94</v>
      </c>
      <c r="D51" s="5">
        <v>495.19</v>
      </c>
      <c r="E51" s="5">
        <v>503.3</v>
      </c>
      <c r="F51" s="6">
        <v>503.3</v>
      </c>
      <c r="G51" s="7">
        <v>1.38383E7</v>
      </c>
    </row>
    <row r="52">
      <c r="A52" s="4">
        <v>45740.0</v>
      </c>
      <c r="B52" s="5">
        <v>617.0</v>
      </c>
      <c r="C52" s="5">
        <v>621.2</v>
      </c>
      <c r="D52" s="5">
        <v>556.0</v>
      </c>
      <c r="E52" s="5">
        <v>561.16</v>
      </c>
      <c r="F52" s="6">
        <v>561.16</v>
      </c>
      <c r="G52" s="7">
        <v>1.04495E7</v>
      </c>
    </row>
    <row r="53">
      <c r="A53" s="4">
        <v>45733.0</v>
      </c>
      <c r="B53" s="5">
        <v>570.07</v>
      </c>
      <c r="C53" s="5">
        <v>604.11</v>
      </c>
      <c r="D53" s="5">
        <v>557.41</v>
      </c>
      <c r="E53" s="5">
        <v>599.94</v>
      </c>
      <c r="F53" s="6">
        <v>599.94</v>
      </c>
      <c r="G53" s="7">
        <v>1.24022E7</v>
      </c>
    </row>
    <row r="54">
      <c r="A54" s="4">
        <v>45726.0</v>
      </c>
      <c r="B54" s="5">
        <v>508.12</v>
      </c>
      <c r="C54" s="5">
        <v>576.62</v>
      </c>
      <c r="D54" s="5">
        <v>483.65</v>
      </c>
      <c r="E54" s="5">
        <v>574.79</v>
      </c>
      <c r="F54" s="6">
        <v>574.79</v>
      </c>
      <c r="G54" s="7">
        <v>1.93384E7</v>
      </c>
    </row>
    <row r="55">
      <c r="A55" s="4">
        <v>45719.0</v>
      </c>
      <c r="B55" s="5">
        <v>570.01</v>
      </c>
      <c r="C55" s="5">
        <v>581.34</v>
      </c>
      <c r="D55" s="5">
        <v>506.49</v>
      </c>
      <c r="E55" s="5">
        <v>532.1</v>
      </c>
      <c r="F55" s="6">
        <v>532.1</v>
      </c>
      <c r="G55" s="7">
        <v>6791300.0</v>
      </c>
    </row>
    <row r="56">
      <c r="A56" s="10"/>
      <c r="B56" s="11"/>
      <c r="C56" s="11"/>
      <c r="D56" s="11"/>
      <c r="E56" s="11"/>
      <c r="F56" s="12"/>
      <c r="G56" s="11"/>
    </row>
    <row r="57">
      <c r="A57" s="13"/>
      <c r="F57" s="14"/>
    </row>
    <row r="58">
      <c r="A58" s="13"/>
      <c r="F58" s="14"/>
    </row>
    <row r="59">
      <c r="A59" s="13"/>
      <c r="F59" s="14"/>
    </row>
    <row r="60">
      <c r="A60" s="13"/>
      <c r="F60" s="14"/>
    </row>
    <row r="61">
      <c r="A61" s="13"/>
      <c r="F61" s="14"/>
    </row>
    <row r="62">
      <c r="A62" s="13"/>
      <c r="F62" s="14"/>
    </row>
    <row r="63">
      <c r="A63" s="13"/>
      <c r="F63" s="14"/>
    </row>
    <row r="64">
      <c r="A64" s="13"/>
      <c r="F64" s="14"/>
    </row>
    <row r="65">
      <c r="A65" s="13"/>
      <c r="F65" s="14"/>
    </row>
    <row r="66">
      <c r="A66" s="13"/>
      <c r="F66" s="14"/>
    </row>
    <row r="67">
      <c r="A67" s="13"/>
      <c r="F67" s="14"/>
    </row>
    <row r="68">
      <c r="A68" s="13"/>
      <c r="F68" s="14"/>
    </row>
    <row r="69">
      <c r="A69" s="13"/>
      <c r="F69" s="14"/>
    </row>
    <row r="70">
      <c r="A70" s="13"/>
      <c r="F70" s="14"/>
    </row>
    <row r="71">
      <c r="A71" s="13"/>
      <c r="F71" s="14"/>
    </row>
    <row r="72">
      <c r="A72" s="13"/>
      <c r="F72" s="14"/>
    </row>
    <row r="73">
      <c r="A73" s="13"/>
      <c r="F73" s="14"/>
    </row>
    <row r="74">
      <c r="A74" s="13"/>
      <c r="F74" s="14"/>
    </row>
    <row r="75">
      <c r="A75" s="13"/>
      <c r="F75" s="14"/>
    </row>
    <row r="76">
      <c r="A76" s="13"/>
      <c r="F76" s="14"/>
    </row>
    <row r="77">
      <c r="A77" s="13"/>
      <c r="F77" s="14"/>
    </row>
    <row r="78">
      <c r="A78" s="13"/>
      <c r="F78" s="14"/>
    </row>
    <row r="79">
      <c r="A79" s="13"/>
      <c r="F79" s="14"/>
    </row>
    <row r="80">
      <c r="A80" s="13"/>
      <c r="F80" s="14"/>
    </row>
    <row r="81">
      <c r="A81" s="13"/>
      <c r="F81" s="14"/>
    </row>
    <row r="82">
      <c r="A82" s="13"/>
      <c r="F82" s="14"/>
    </row>
    <row r="83">
      <c r="A83" s="13"/>
      <c r="F83" s="14"/>
    </row>
    <row r="84">
      <c r="A84" s="13"/>
      <c r="F84" s="14"/>
    </row>
    <row r="85">
      <c r="A85" s="13"/>
      <c r="F85" s="14"/>
    </row>
    <row r="86">
      <c r="A86" s="13"/>
      <c r="F86" s="14"/>
    </row>
    <row r="87">
      <c r="A87" s="13"/>
      <c r="F87" s="14"/>
    </row>
    <row r="88">
      <c r="A88" s="13"/>
      <c r="F88" s="14"/>
    </row>
    <row r="89">
      <c r="A89" s="13"/>
      <c r="F89" s="14"/>
    </row>
    <row r="90">
      <c r="A90" s="13"/>
      <c r="F90" s="14"/>
    </row>
    <row r="91">
      <c r="A91" s="13"/>
      <c r="F91" s="14"/>
    </row>
    <row r="92">
      <c r="A92" s="13"/>
      <c r="F92" s="14"/>
    </row>
    <row r="93">
      <c r="A93" s="13"/>
      <c r="F93" s="14"/>
    </row>
    <row r="94">
      <c r="A94" s="13"/>
      <c r="F94" s="14"/>
    </row>
    <row r="95">
      <c r="A95" s="13"/>
      <c r="F95" s="14"/>
    </row>
    <row r="96">
      <c r="A96" s="13"/>
      <c r="F96" s="14"/>
    </row>
    <row r="97">
      <c r="A97" s="13"/>
      <c r="F97" s="14"/>
    </row>
    <row r="98">
      <c r="A98" s="13"/>
      <c r="F98" s="14"/>
    </row>
    <row r="99">
      <c r="A99" s="13"/>
      <c r="F99" s="14"/>
    </row>
    <row r="100">
      <c r="A100" s="13"/>
      <c r="F100" s="14"/>
    </row>
    <row r="101">
      <c r="A101" s="13"/>
      <c r="F101" s="14"/>
    </row>
    <row r="102">
      <c r="A102" s="13"/>
      <c r="F102" s="14"/>
    </row>
    <row r="103">
      <c r="A103" s="13"/>
      <c r="F103" s="14"/>
    </row>
    <row r="104">
      <c r="A104" s="13"/>
      <c r="F104" s="14"/>
    </row>
    <row r="105">
      <c r="A105" s="13"/>
      <c r="F105" s="14"/>
    </row>
    <row r="106">
      <c r="A106" s="13"/>
      <c r="F106" s="14"/>
    </row>
    <row r="107">
      <c r="A107" s="13"/>
      <c r="F107" s="14"/>
    </row>
    <row r="108">
      <c r="A108" s="13"/>
      <c r="F108" s="14"/>
    </row>
    <row r="109">
      <c r="A109" s="13"/>
      <c r="F109" s="14"/>
    </row>
    <row r="110">
      <c r="A110" s="13"/>
      <c r="F110" s="14"/>
    </row>
    <row r="111">
      <c r="A111" s="13"/>
      <c r="F111" s="14"/>
    </row>
    <row r="112">
      <c r="A112" s="13"/>
      <c r="F112" s="14"/>
    </row>
    <row r="113">
      <c r="A113" s="13"/>
      <c r="F113" s="14"/>
    </row>
    <row r="114">
      <c r="A114" s="13"/>
      <c r="F114" s="14"/>
    </row>
    <row r="115">
      <c r="A115" s="13"/>
      <c r="F115" s="14"/>
    </row>
    <row r="116">
      <c r="A116" s="13"/>
      <c r="F116" s="14"/>
    </row>
    <row r="117">
      <c r="A117" s="13"/>
      <c r="F117" s="14"/>
    </row>
    <row r="118">
      <c r="A118" s="13"/>
      <c r="F118" s="14"/>
    </row>
    <row r="119">
      <c r="A119" s="13"/>
      <c r="F119" s="14"/>
    </row>
    <row r="120">
      <c r="A120" s="13"/>
      <c r="F120" s="14"/>
    </row>
    <row r="121">
      <c r="A121" s="13"/>
      <c r="F121" s="14"/>
    </row>
    <row r="122">
      <c r="A122" s="13"/>
      <c r="F122" s="14"/>
    </row>
    <row r="123">
      <c r="A123" s="13"/>
      <c r="F123" s="14"/>
    </row>
    <row r="124">
      <c r="A124" s="13"/>
      <c r="F124" s="14"/>
    </row>
    <row r="125">
      <c r="A125" s="13"/>
      <c r="F125" s="14"/>
    </row>
    <row r="126">
      <c r="A126" s="13"/>
      <c r="F126" s="14"/>
    </row>
    <row r="127">
      <c r="A127" s="13"/>
      <c r="F127" s="14"/>
    </row>
    <row r="128">
      <c r="A128" s="13"/>
      <c r="F128" s="14"/>
    </row>
    <row r="129">
      <c r="A129" s="13"/>
      <c r="F129" s="14"/>
    </row>
    <row r="130">
      <c r="A130" s="13"/>
      <c r="F130" s="14"/>
    </row>
    <row r="131">
      <c r="A131" s="13"/>
      <c r="F131" s="14"/>
    </row>
    <row r="132">
      <c r="A132" s="13"/>
      <c r="F132" s="14"/>
    </row>
    <row r="133">
      <c r="A133" s="13"/>
      <c r="F133" s="14"/>
    </row>
    <row r="134">
      <c r="A134" s="13"/>
      <c r="F134" s="14"/>
    </row>
    <row r="135">
      <c r="A135" s="13"/>
      <c r="F135" s="14"/>
    </row>
    <row r="136">
      <c r="A136" s="13"/>
      <c r="F136" s="14"/>
    </row>
    <row r="137">
      <c r="A137" s="13"/>
      <c r="F137" s="14"/>
    </row>
    <row r="138">
      <c r="A138" s="13"/>
      <c r="F138" s="14"/>
    </row>
    <row r="139">
      <c r="A139" s="13"/>
      <c r="F139" s="14"/>
    </row>
    <row r="140">
      <c r="A140" s="13"/>
      <c r="F140" s="14"/>
    </row>
    <row r="141">
      <c r="A141" s="13"/>
      <c r="F141" s="14"/>
    </row>
    <row r="142">
      <c r="A142" s="13"/>
      <c r="F142" s="14"/>
    </row>
    <row r="143">
      <c r="A143" s="13"/>
      <c r="F143" s="14"/>
    </row>
    <row r="144">
      <c r="A144" s="13"/>
      <c r="F144" s="14"/>
    </row>
    <row r="145">
      <c r="A145" s="13"/>
      <c r="F145" s="14"/>
    </row>
    <row r="146">
      <c r="A146" s="13"/>
      <c r="F146" s="14"/>
    </row>
    <row r="147">
      <c r="A147" s="13"/>
      <c r="F147" s="14"/>
    </row>
    <row r="148">
      <c r="A148" s="13"/>
      <c r="F148" s="14"/>
    </row>
    <row r="149">
      <c r="A149" s="13"/>
      <c r="F149" s="14"/>
    </row>
    <row r="150">
      <c r="A150" s="13"/>
      <c r="F150" s="14"/>
    </row>
    <row r="151">
      <c r="A151" s="13"/>
      <c r="F151" s="14"/>
    </row>
    <row r="152">
      <c r="A152" s="13"/>
      <c r="F152" s="14"/>
    </row>
    <row r="153">
      <c r="A153" s="13"/>
      <c r="F153" s="14"/>
    </row>
    <row r="154">
      <c r="A154" s="13"/>
      <c r="F154" s="14"/>
    </row>
    <row r="155">
      <c r="A155" s="13"/>
      <c r="F155" s="14"/>
    </row>
    <row r="156">
      <c r="A156" s="13"/>
      <c r="F156" s="14"/>
    </row>
    <row r="157">
      <c r="A157" s="13"/>
      <c r="F157" s="14"/>
    </row>
    <row r="158">
      <c r="A158" s="13"/>
      <c r="F158" s="14"/>
    </row>
    <row r="159">
      <c r="A159" s="13"/>
      <c r="F159" s="14"/>
    </row>
    <row r="160">
      <c r="A160" s="13"/>
      <c r="F160" s="14"/>
    </row>
    <row r="161">
      <c r="A161" s="13"/>
      <c r="F161" s="14"/>
    </row>
    <row r="162">
      <c r="A162" s="13"/>
      <c r="F162" s="14"/>
    </row>
    <row r="163">
      <c r="A163" s="13"/>
      <c r="F163" s="14"/>
    </row>
    <row r="164">
      <c r="A164" s="13"/>
      <c r="F164" s="14"/>
    </row>
    <row r="165">
      <c r="A165" s="13"/>
      <c r="F165" s="14"/>
    </row>
    <row r="166">
      <c r="A166" s="13"/>
      <c r="F166" s="14"/>
    </row>
    <row r="167">
      <c r="A167" s="13"/>
      <c r="F167" s="14"/>
    </row>
    <row r="168">
      <c r="A168" s="13"/>
      <c r="F168" s="14"/>
    </row>
    <row r="169">
      <c r="A169" s="13"/>
      <c r="F169" s="14"/>
    </row>
    <row r="170">
      <c r="A170" s="13"/>
      <c r="F170" s="14"/>
    </row>
    <row r="171">
      <c r="A171" s="13"/>
      <c r="F171" s="14"/>
    </row>
    <row r="172">
      <c r="A172" s="13"/>
      <c r="F172" s="14"/>
    </row>
    <row r="173">
      <c r="A173" s="13"/>
      <c r="F173" s="14"/>
    </row>
    <row r="174">
      <c r="A174" s="13"/>
      <c r="F174" s="14"/>
    </row>
    <row r="175">
      <c r="A175" s="13"/>
      <c r="F175" s="14"/>
    </row>
    <row r="176">
      <c r="A176" s="13"/>
      <c r="F176" s="14"/>
    </row>
    <row r="177">
      <c r="A177" s="13"/>
      <c r="F177" s="14"/>
    </row>
    <row r="178">
      <c r="A178" s="13"/>
      <c r="F178" s="14"/>
    </row>
    <row r="179">
      <c r="A179" s="13"/>
      <c r="F179" s="14"/>
    </row>
    <row r="180">
      <c r="A180" s="13"/>
      <c r="F180" s="14"/>
    </row>
    <row r="181">
      <c r="A181" s="13"/>
      <c r="F181" s="14"/>
    </row>
    <row r="182">
      <c r="A182" s="13"/>
      <c r="F182" s="14"/>
    </row>
    <row r="183">
      <c r="A183" s="13"/>
      <c r="F183" s="14"/>
    </row>
    <row r="184">
      <c r="A184" s="13"/>
      <c r="F184" s="14"/>
    </row>
    <row r="185">
      <c r="A185" s="13"/>
      <c r="F185" s="14"/>
    </row>
    <row r="186">
      <c r="A186" s="13"/>
      <c r="F186" s="14"/>
    </row>
    <row r="187">
      <c r="A187" s="13"/>
      <c r="F187" s="14"/>
    </row>
    <row r="188">
      <c r="A188" s="13"/>
      <c r="F188" s="14"/>
    </row>
    <row r="189">
      <c r="A189" s="13"/>
      <c r="F189" s="14"/>
    </row>
    <row r="190">
      <c r="A190" s="13"/>
      <c r="F190" s="14"/>
    </row>
    <row r="191">
      <c r="A191" s="13"/>
      <c r="F191" s="14"/>
    </row>
    <row r="192">
      <c r="A192" s="13"/>
      <c r="F192" s="14"/>
    </row>
    <row r="193">
      <c r="A193" s="13"/>
      <c r="F193" s="14"/>
    </row>
    <row r="194">
      <c r="A194" s="13"/>
      <c r="F194" s="14"/>
    </row>
    <row r="195">
      <c r="A195" s="13"/>
      <c r="F195" s="14"/>
    </row>
    <row r="196">
      <c r="A196" s="13"/>
      <c r="F196" s="14"/>
    </row>
    <row r="197">
      <c r="A197" s="13"/>
      <c r="F197" s="14"/>
    </row>
    <row r="198">
      <c r="A198" s="13"/>
      <c r="F198" s="14"/>
    </row>
    <row r="199">
      <c r="A199" s="13"/>
      <c r="F199" s="14"/>
    </row>
    <row r="200">
      <c r="A200" s="13"/>
      <c r="F200" s="14"/>
    </row>
    <row r="201">
      <c r="A201" s="13"/>
      <c r="F201" s="14"/>
    </row>
    <row r="202">
      <c r="A202" s="13"/>
      <c r="F202" s="14"/>
    </row>
    <row r="203">
      <c r="A203" s="13"/>
      <c r="F203" s="14"/>
    </row>
    <row r="204">
      <c r="A204" s="13"/>
      <c r="F204" s="14"/>
    </row>
    <row r="205">
      <c r="A205" s="13"/>
      <c r="F205" s="14"/>
    </row>
    <row r="206">
      <c r="A206" s="13"/>
      <c r="F206" s="14"/>
    </row>
    <row r="207">
      <c r="A207" s="13"/>
      <c r="F207" s="14"/>
    </row>
    <row r="208">
      <c r="A208" s="13"/>
      <c r="F208" s="14"/>
    </row>
    <row r="209">
      <c r="A209" s="13"/>
      <c r="F209" s="14"/>
    </row>
    <row r="210">
      <c r="A210" s="13"/>
      <c r="F210" s="14"/>
    </row>
    <row r="211">
      <c r="A211" s="13"/>
      <c r="F211" s="14"/>
    </row>
    <row r="212">
      <c r="A212" s="13"/>
      <c r="F212" s="14"/>
    </row>
    <row r="213">
      <c r="A213" s="13"/>
      <c r="F213" s="14"/>
    </row>
    <row r="214">
      <c r="A214" s="13"/>
      <c r="F214" s="14"/>
    </row>
    <row r="215">
      <c r="A215" s="13"/>
      <c r="F215" s="14"/>
    </row>
    <row r="216">
      <c r="A216" s="13"/>
      <c r="F216" s="14"/>
    </row>
    <row r="217">
      <c r="A217" s="13"/>
      <c r="F217" s="14"/>
    </row>
    <row r="218">
      <c r="A218" s="13"/>
      <c r="F218" s="14"/>
    </row>
    <row r="219">
      <c r="A219" s="13"/>
      <c r="F219" s="14"/>
    </row>
    <row r="220">
      <c r="A220" s="13"/>
      <c r="F220" s="14"/>
    </row>
    <row r="221">
      <c r="A221" s="13"/>
      <c r="F221" s="14"/>
    </row>
    <row r="222">
      <c r="A222" s="13"/>
      <c r="F222" s="14"/>
    </row>
    <row r="223">
      <c r="A223" s="13"/>
      <c r="F223" s="14"/>
    </row>
    <row r="224">
      <c r="A224" s="13"/>
      <c r="F224" s="14"/>
    </row>
    <row r="225">
      <c r="A225" s="13"/>
      <c r="F225" s="14"/>
    </row>
    <row r="226">
      <c r="A226" s="13"/>
      <c r="F226" s="14"/>
    </row>
    <row r="227">
      <c r="A227" s="13"/>
      <c r="F227" s="14"/>
    </row>
    <row r="228">
      <c r="A228" s="13"/>
      <c r="F228" s="14"/>
    </row>
    <row r="229">
      <c r="A229" s="13"/>
      <c r="F229" s="14"/>
    </row>
    <row r="230">
      <c r="A230" s="13"/>
      <c r="F230" s="14"/>
    </row>
    <row r="231">
      <c r="A231" s="13"/>
      <c r="F231" s="14"/>
    </row>
    <row r="232">
      <c r="A232" s="13"/>
      <c r="F232" s="14"/>
    </row>
    <row r="233">
      <c r="A233" s="13"/>
      <c r="F233" s="14"/>
    </row>
    <row r="234">
      <c r="A234" s="13"/>
      <c r="F234" s="14"/>
    </row>
    <row r="235">
      <c r="A235" s="13"/>
      <c r="F235" s="14"/>
    </row>
    <row r="236">
      <c r="A236" s="13"/>
      <c r="F236" s="14"/>
    </row>
    <row r="237">
      <c r="A237" s="13"/>
      <c r="F237" s="14"/>
    </row>
    <row r="238">
      <c r="A238" s="13"/>
      <c r="F238" s="14"/>
    </row>
    <row r="239">
      <c r="A239" s="13"/>
      <c r="F239" s="14"/>
    </row>
    <row r="240">
      <c r="A240" s="13"/>
      <c r="F240" s="14"/>
    </row>
    <row r="241">
      <c r="A241" s="13"/>
      <c r="F241" s="14"/>
    </row>
    <row r="242">
      <c r="A242" s="13"/>
      <c r="F242" s="14"/>
    </row>
    <row r="243">
      <c r="A243" s="13"/>
      <c r="F243" s="14"/>
    </row>
    <row r="244">
      <c r="A244" s="13"/>
      <c r="F244" s="14"/>
    </row>
    <row r="245">
      <c r="A245" s="13"/>
      <c r="F245" s="14"/>
    </row>
    <row r="246">
      <c r="A246" s="13"/>
      <c r="F246" s="14"/>
    </row>
    <row r="247">
      <c r="A247" s="13"/>
      <c r="F247" s="14"/>
    </row>
    <row r="248">
      <c r="A248" s="13"/>
      <c r="F248" s="14"/>
    </row>
    <row r="249">
      <c r="A249" s="13"/>
      <c r="F249" s="14"/>
    </row>
    <row r="250">
      <c r="A250" s="13"/>
      <c r="F250" s="14"/>
    </row>
    <row r="251">
      <c r="A251" s="13"/>
      <c r="F251" s="14"/>
    </row>
    <row r="252">
      <c r="A252" s="13"/>
      <c r="F252" s="14"/>
    </row>
    <row r="253">
      <c r="A253" s="13"/>
      <c r="F253" s="14"/>
    </row>
    <row r="254">
      <c r="A254" s="13"/>
      <c r="F254" s="14"/>
    </row>
    <row r="255">
      <c r="A255" s="13"/>
      <c r="F255" s="14"/>
    </row>
    <row r="256">
      <c r="A256" s="13"/>
      <c r="F256" s="14"/>
    </row>
    <row r="257">
      <c r="A257" s="13"/>
      <c r="F257" s="14"/>
    </row>
    <row r="258">
      <c r="A258" s="13"/>
      <c r="F258" s="14"/>
    </row>
    <row r="259">
      <c r="A259" s="13"/>
      <c r="F259" s="14"/>
    </row>
    <row r="260">
      <c r="A260" s="13"/>
      <c r="F260" s="14"/>
    </row>
    <row r="261">
      <c r="A261" s="13"/>
      <c r="F261" s="14"/>
    </row>
    <row r="262">
      <c r="A262" s="13"/>
      <c r="F262" s="14"/>
    </row>
    <row r="263">
      <c r="A263" s="13"/>
      <c r="F263" s="14"/>
    </row>
    <row r="264">
      <c r="A264" s="13"/>
      <c r="F264" s="14"/>
    </row>
    <row r="265">
      <c r="A265" s="13"/>
      <c r="F265" s="14"/>
    </row>
    <row r="266">
      <c r="A266" s="13"/>
      <c r="F266" s="14"/>
    </row>
    <row r="267">
      <c r="A267" s="13"/>
      <c r="F267" s="14"/>
    </row>
    <row r="268">
      <c r="A268" s="13"/>
      <c r="F268" s="14"/>
    </row>
    <row r="269">
      <c r="A269" s="13"/>
      <c r="F269" s="14"/>
    </row>
    <row r="270">
      <c r="A270" s="13"/>
      <c r="F270" s="14"/>
    </row>
    <row r="271">
      <c r="A271" s="13"/>
      <c r="F271" s="14"/>
    </row>
    <row r="272">
      <c r="A272" s="13"/>
      <c r="F272" s="14"/>
    </row>
    <row r="273">
      <c r="A273" s="13"/>
      <c r="F273" s="14"/>
    </row>
    <row r="274">
      <c r="A274" s="13"/>
      <c r="F274" s="14"/>
    </row>
    <row r="275">
      <c r="A275" s="13"/>
      <c r="F275" s="14"/>
    </row>
    <row r="276">
      <c r="A276" s="13"/>
      <c r="F276" s="14"/>
    </row>
    <row r="277">
      <c r="A277" s="13"/>
      <c r="F277" s="14"/>
    </row>
    <row r="278">
      <c r="A278" s="13"/>
      <c r="F278" s="14"/>
    </row>
    <row r="279">
      <c r="A279" s="13"/>
      <c r="F279" s="14"/>
    </row>
    <row r="280">
      <c r="A280" s="13"/>
      <c r="F280" s="14"/>
    </row>
    <row r="281">
      <c r="A281" s="13"/>
      <c r="F281" s="14"/>
    </row>
    <row r="282">
      <c r="A282" s="13"/>
      <c r="F282" s="14"/>
    </row>
    <row r="283">
      <c r="A283" s="13"/>
      <c r="F283" s="14"/>
    </row>
    <row r="284">
      <c r="A284" s="13"/>
      <c r="F284" s="14"/>
    </row>
    <row r="285">
      <c r="A285" s="13"/>
      <c r="F285" s="14"/>
    </row>
    <row r="286">
      <c r="A286" s="13"/>
      <c r="F286" s="14"/>
    </row>
    <row r="287">
      <c r="A287" s="13"/>
      <c r="F287" s="14"/>
    </row>
    <row r="288">
      <c r="A288" s="13"/>
      <c r="F288" s="14"/>
    </row>
    <row r="289">
      <c r="A289" s="13"/>
      <c r="F289" s="14"/>
    </row>
    <row r="290">
      <c r="A290" s="13"/>
      <c r="F290" s="14"/>
    </row>
    <row r="291">
      <c r="A291" s="13"/>
      <c r="F291" s="14"/>
    </row>
    <row r="292">
      <c r="A292" s="13"/>
      <c r="F292" s="14"/>
    </row>
    <row r="293">
      <c r="A293" s="13"/>
      <c r="F293" s="14"/>
    </row>
    <row r="294">
      <c r="A294" s="13"/>
      <c r="F294" s="14"/>
    </row>
    <row r="295">
      <c r="A295" s="13"/>
      <c r="F295" s="14"/>
    </row>
    <row r="296">
      <c r="A296" s="13"/>
      <c r="F296" s="14"/>
    </row>
    <row r="297">
      <c r="A297" s="13"/>
      <c r="F297" s="14"/>
    </row>
    <row r="298">
      <c r="A298" s="13"/>
      <c r="F298" s="14"/>
    </row>
    <row r="299">
      <c r="A299" s="13"/>
      <c r="F299" s="14"/>
    </row>
    <row r="300">
      <c r="A300" s="13"/>
      <c r="F300" s="14"/>
    </row>
    <row r="301">
      <c r="A301" s="13"/>
      <c r="F301" s="14"/>
    </row>
    <row r="302">
      <c r="A302" s="13"/>
      <c r="F302" s="14"/>
    </row>
    <row r="303">
      <c r="A303" s="13"/>
      <c r="F303" s="14"/>
    </row>
    <row r="304">
      <c r="A304" s="13"/>
      <c r="F304" s="14"/>
    </row>
    <row r="305">
      <c r="A305" s="13"/>
      <c r="F305" s="14"/>
    </row>
    <row r="306">
      <c r="A306" s="13"/>
      <c r="F306" s="14"/>
    </row>
    <row r="307">
      <c r="A307" s="13"/>
      <c r="F307" s="14"/>
    </row>
    <row r="308">
      <c r="A308" s="13"/>
      <c r="F308" s="14"/>
    </row>
    <row r="309">
      <c r="A309" s="13"/>
      <c r="F309" s="14"/>
    </row>
    <row r="310">
      <c r="A310" s="13"/>
      <c r="F310" s="14"/>
    </row>
    <row r="311">
      <c r="A311" s="13"/>
      <c r="F311" s="14"/>
    </row>
    <row r="312">
      <c r="A312" s="13"/>
      <c r="F312" s="14"/>
    </row>
    <row r="313">
      <c r="A313" s="13"/>
      <c r="F313" s="14"/>
    </row>
    <row r="314">
      <c r="A314" s="13"/>
      <c r="F314" s="14"/>
    </row>
    <row r="315">
      <c r="A315" s="13"/>
      <c r="F315" s="14"/>
    </row>
    <row r="316">
      <c r="A316" s="13"/>
      <c r="F316" s="14"/>
    </row>
    <row r="317">
      <c r="A317" s="13"/>
      <c r="F317" s="14"/>
    </row>
    <row r="318">
      <c r="A318" s="13"/>
      <c r="F318" s="14"/>
    </row>
    <row r="319">
      <c r="A319" s="13"/>
      <c r="F319" s="14"/>
    </row>
    <row r="320">
      <c r="A320" s="13"/>
      <c r="F320" s="14"/>
    </row>
    <row r="321">
      <c r="A321" s="13"/>
      <c r="F321" s="14"/>
    </row>
    <row r="322">
      <c r="A322" s="13"/>
      <c r="F322" s="14"/>
    </row>
    <row r="323">
      <c r="A323" s="13"/>
      <c r="F323" s="14"/>
    </row>
    <row r="324">
      <c r="A324" s="13"/>
      <c r="F324" s="14"/>
    </row>
    <row r="325">
      <c r="A325" s="13"/>
      <c r="F325" s="14"/>
    </row>
    <row r="326">
      <c r="A326" s="13"/>
      <c r="F326" s="14"/>
    </row>
    <row r="327">
      <c r="A327" s="13"/>
      <c r="F327" s="14"/>
    </row>
    <row r="328">
      <c r="A328" s="13"/>
      <c r="F328" s="14"/>
    </row>
    <row r="329">
      <c r="A329" s="13"/>
      <c r="F329" s="14"/>
    </row>
    <row r="330">
      <c r="A330" s="13"/>
      <c r="F330" s="14"/>
    </row>
    <row r="331">
      <c r="A331" s="13"/>
      <c r="F331" s="14"/>
    </row>
    <row r="332">
      <c r="A332" s="13"/>
      <c r="F332" s="14"/>
    </row>
    <row r="333">
      <c r="A333" s="13"/>
      <c r="F333" s="14"/>
    </row>
    <row r="334">
      <c r="A334" s="13"/>
      <c r="F334" s="14"/>
    </row>
    <row r="335">
      <c r="A335" s="13"/>
      <c r="F335" s="14"/>
    </row>
    <row r="336">
      <c r="A336" s="13"/>
      <c r="F336" s="14"/>
    </row>
    <row r="337">
      <c r="A337" s="13"/>
      <c r="F337" s="14"/>
    </row>
    <row r="338">
      <c r="A338" s="13"/>
      <c r="F338" s="14"/>
    </row>
    <row r="339">
      <c r="A339" s="13"/>
      <c r="F339" s="14"/>
    </row>
    <row r="340">
      <c r="A340" s="13"/>
      <c r="F340" s="14"/>
    </row>
    <row r="341">
      <c r="A341" s="13"/>
      <c r="F341" s="14"/>
    </row>
    <row r="342">
      <c r="A342" s="13"/>
      <c r="F342" s="14"/>
    </row>
    <row r="343">
      <c r="A343" s="13"/>
      <c r="F343" s="14"/>
    </row>
    <row r="344">
      <c r="A344" s="13"/>
      <c r="F344" s="14"/>
    </row>
    <row r="345">
      <c r="A345" s="13"/>
      <c r="F345" s="14"/>
    </row>
    <row r="346">
      <c r="A346" s="13"/>
      <c r="F346" s="14"/>
    </row>
    <row r="347">
      <c r="A347" s="13"/>
      <c r="F347" s="14"/>
    </row>
    <row r="348">
      <c r="A348" s="13"/>
      <c r="F348" s="14"/>
    </row>
    <row r="349">
      <c r="A349" s="13"/>
      <c r="F349" s="14"/>
    </row>
    <row r="350">
      <c r="A350" s="13"/>
      <c r="F350" s="14"/>
    </row>
    <row r="351">
      <c r="A351" s="13"/>
      <c r="F351" s="14"/>
    </row>
    <row r="352">
      <c r="A352" s="13"/>
      <c r="F352" s="14"/>
    </row>
    <row r="353">
      <c r="A353" s="13"/>
      <c r="F353" s="14"/>
    </row>
    <row r="354">
      <c r="A354" s="13"/>
      <c r="F354" s="14"/>
    </row>
    <row r="355">
      <c r="A355" s="13"/>
      <c r="F355" s="14"/>
    </row>
    <row r="356">
      <c r="A356" s="13"/>
      <c r="F356" s="14"/>
    </row>
    <row r="357">
      <c r="A357" s="13"/>
      <c r="F357" s="14"/>
    </row>
    <row r="358">
      <c r="A358" s="13"/>
      <c r="F358" s="14"/>
    </row>
    <row r="359">
      <c r="A359" s="13"/>
      <c r="F359" s="14"/>
    </row>
    <row r="360">
      <c r="A360" s="13"/>
      <c r="F360" s="14"/>
    </row>
    <row r="361">
      <c r="A361" s="13"/>
      <c r="F361" s="14"/>
    </row>
    <row r="362">
      <c r="A362" s="13"/>
      <c r="F362" s="14"/>
    </row>
    <row r="363">
      <c r="A363" s="13"/>
      <c r="F363" s="14"/>
    </row>
    <row r="364">
      <c r="A364" s="13"/>
      <c r="F364" s="14"/>
    </row>
    <row r="365">
      <c r="A365" s="13"/>
      <c r="F365" s="14"/>
    </row>
    <row r="366">
      <c r="A366" s="13"/>
      <c r="F366" s="14"/>
    </row>
    <row r="367">
      <c r="A367" s="13"/>
      <c r="F367" s="14"/>
    </row>
    <row r="368">
      <c r="A368" s="13"/>
      <c r="F368" s="14"/>
    </row>
    <row r="369">
      <c r="A369" s="13"/>
      <c r="F369" s="14"/>
    </row>
    <row r="370">
      <c r="A370" s="13"/>
      <c r="F370" s="14"/>
    </row>
    <row r="371">
      <c r="A371" s="13"/>
      <c r="F371" s="14"/>
    </row>
    <row r="372">
      <c r="A372" s="13"/>
      <c r="F372" s="14"/>
    </row>
    <row r="373">
      <c r="A373" s="13"/>
      <c r="F373" s="14"/>
    </row>
    <row r="374">
      <c r="A374" s="13"/>
      <c r="F374" s="14"/>
    </row>
    <row r="375">
      <c r="A375" s="13"/>
      <c r="F375" s="14"/>
    </row>
    <row r="376">
      <c r="A376" s="13"/>
      <c r="F376" s="14"/>
    </row>
    <row r="377">
      <c r="A377" s="13"/>
      <c r="F377" s="14"/>
    </row>
    <row r="378">
      <c r="A378" s="13"/>
      <c r="F378" s="14"/>
    </row>
    <row r="379">
      <c r="A379" s="13"/>
      <c r="F379" s="14"/>
    </row>
    <row r="380">
      <c r="A380" s="13"/>
      <c r="F380" s="14"/>
    </row>
    <row r="381">
      <c r="A381" s="13"/>
      <c r="F381" s="14"/>
    </row>
    <row r="382">
      <c r="A382" s="13"/>
      <c r="F382" s="14"/>
    </row>
    <row r="383">
      <c r="A383" s="13"/>
      <c r="F383" s="14"/>
    </row>
    <row r="384">
      <c r="A384" s="13"/>
      <c r="F384" s="14"/>
    </row>
    <row r="385">
      <c r="A385" s="13"/>
      <c r="F385" s="14"/>
    </row>
    <row r="386">
      <c r="A386" s="13"/>
      <c r="F386" s="14"/>
    </row>
    <row r="387">
      <c r="A387" s="13"/>
      <c r="F387" s="14"/>
    </row>
    <row r="388">
      <c r="A388" s="13"/>
      <c r="F388" s="14"/>
    </row>
    <row r="389">
      <c r="A389" s="13"/>
      <c r="F389" s="14"/>
    </row>
    <row r="390">
      <c r="A390" s="13"/>
      <c r="F390" s="14"/>
    </row>
    <row r="391">
      <c r="A391" s="13"/>
      <c r="F391" s="14"/>
    </row>
    <row r="392">
      <c r="A392" s="13"/>
      <c r="F392" s="14"/>
    </row>
    <row r="393">
      <c r="A393" s="13"/>
      <c r="F393" s="14"/>
    </row>
    <row r="394">
      <c r="A394" s="13"/>
      <c r="F394" s="14"/>
    </row>
    <row r="395">
      <c r="A395" s="13"/>
      <c r="F395" s="14"/>
    </row>
    <row r="396">
      <c r="A396" s="13"/>
      <c r="F396" s="14"/>
    </row>
    <row r="397">
      <c r="A397" s="13"/>
      <c r="F397" s="14"/>
    </row>
    <row r="398">
      <c r="A398" s="13"/>
      <c r="F398" s="14"/>
    </row>
    <row r="399">
      <c r="A399" s="13"/>
      <c r="F399" s="14"/>
    </row>
    <row r="400">
      <c r="A400" s="13"/>
      <c r="F400" s="14"/>
    </row>
    <row r="401">
      <c r="A401" s="13"/>
      <c r="F401" s="14"/>
    </row>
    <row r="402">
      <c r="A402" s="13"/>
      <c r="F402" s="14"/>
    </row>
    <row r="403">
      <c r="A403" s="13"/>
      <c r="F403" s="14"/>
    </row>
    <row r="404">
      <c r="A404" s="13"/>
      <c r="F404" s="14"/>
    </row>
    <row r="405">
      <c r="A405" s="13"/>
      <c r="F405" s="14"/>
    </row>
    <row r="406">
      <c r="A406" s="13"/>
      <c r="F406" s="14"/>
    </row>
    <row r="407">
      <c r="A407" s="13"/>
      <c r="F407" s="14"/>
    </row>
    <row r="408">
      <c r="A408" s="13"/>
      <c r="F408" s="14"/>
    </row>
    <row r="409">
      <c r="A409" s="13"/>
      <c r="F409" s="14"/>
    </row>
    <row r="410">
      <c r="A410" s="13"/>
      <c r="F410" s="14"/>
    </row>
    <row r="411">
      <c r="A411" s="13"/>
      <c r="F411" s="14"/>
    </row>
    <row r="412">
      <c r="A412" s="13"/>
      <c r="F412" s="14"/>
    </row>
    <row r="413">
      <c r="A413" s="13"/>
      <c r="F413" s="14"/>
    </row>
    <row r="414">
      <c r="A414" s="13"/>
      <c r="F414" s="14"/>
    </row>
    <row r="415">
      <c r="A415" s="13"/>
      <c r="F415" s="14"/>
    </row>
    <row r="416">
      <c r="A416" s="13"/>
      <c r="F416" s="14"/>
    </row>
    <row r="417">
      <c r="A417" s="13"/>
      <c r="F417" s="14"/>
    </row>
    <row r="418">
      <c r="A418" s="13"/>
      <c r="F418" s="14"/>
    </row>
    <row r="419">
      <c r="A419" s="13"/>
      <c r="F419" s="14"/>
    </row>
    <row r="420">
      <c r="A420" s="13"/>
      <c r="F420" s="14"/>
    </row>
    <row r="421">
      <c r="A421" s="13"/>
      <c r="F421" s="14"/>
    </row>
    <row r="422">
      <c r="A422" s="13"/>
      <c r="F422" s="14"/>
    </row>
    <row r="423">
      <c r="A423" s="13"/>
      <c r="F423" s="14"/>
    </row>
    <row r="424">
      <c r="A424" s="13"/>
      <c r="F424" s="14"/>
    </row>
    <row r="425">
      <c r="A425" s="13"/>
      <c r="F425" s="14"/>
    </row>
    <row r="426">
      <c r="A426" s="13"/>
      <c r="F426" s="14"/>
    </row>
    <row r="427">
      <c r="A427" s="13"/>
      <c r="F427" s="14"/>
    </row>
    <row r="428">
      <c r="A428" s="13"/>
      <c r="F428" s="14"/>
    </row>
    <row r="429">
      <c r="A429" s="13"/>
      <c r="F429" s="14"/>
    </row>
    <row r="430">
      <c r="A430" s="13"/>
      <c r="F430" s="14"/>
    </row>
    <row r="431">
      <c r="A431" s="13"/>
      <c r="F431" s="14"/>
    </row>
    <row r="432">
      <c r="A432" s="13"/>
      <c r="F432" s="14"/>
    </row>
    <row r="433">
      <c r="A433" s="13"/>
      <c r="F433" s="14"/>
    </row>
    <row r="434">
      <c r="A434" s="13"/>
      <c r="F434" s="14"/>
    </row>
    <row r="435">
      <c r="A435" s="13"/>
      <c r="F435" s="14"/>
    </row>
    <row r="436">
      <c r="A436" s="13"/>
      <c r="F436" s="14"/>
    </row>
    <row r="437">
      <c r="A437" s="13"/>
      <c r="F437" s="14"/>
    </row>
    <row r="438">
      <c r="A438" s="13"/>
      <c r="F438" s="14"/>
    </row>
    <row r="439">
      <c r="A439" s="13"/>
      <c r="F439" s="14"/>
    </row>
    <row r="440">
      <c r="A440" s="13"/>
      <c r="F440" s="14"/>
    </row>
    <row r="441">
      <c r="A441" s="13"/>
      <c r="F441" s="14"/>
    </row>
    <row r="442">
      <c r="A442" s="13"/>
      <c r="F442" s="14"/>
    </row>
    <row r="443">
      <c r="A443" s="13"/>
      <c r="F443" s="14"/>
    </row>
    <row r="444">
      <c r="A444" s="13"/>
      <c r="F444" s="14"/>
    </row>
    <row r="445">
      <c r="A445" s="13"/>
      <c r="F445" s="14"/>
    </row>
    <row r="446">
      <c r="A446" s="13"/>
      <c r="F446" s="14"/>
    </row>
    <row r="447">
      <c r="A447" s="13"/>
      <c r="F447" s="14"/>
    </row>
    <row r="448">
      <c r="A448" s="13"/>
      <c r="F448" s="14"/>
    </row>
    <row r="449">
      <c r="A449" s="13"/>
      <c r="F449" s="14"/>
    </row>
    <row r="450">
      <c r="A450" s="13"/>
      <c r="F450" s="14"/>
    </row>
    <row r="451">
      <c r="A451" s="13"/>
      <c r="F451" s="14"/>
    </row>
    <row r="452">
      <c r="A452" s="13"/>
      <c r="F452" s="14"/>
    </row>
    <row r="453">
      <c r="A453" s="13"/>
      <c r="F453" s="14"/>
    </row>
    <row r="454">
      <c r="A454" s="13"/>
      <c r="F454" s="14"/>
    </row>
    <row r="455">
      <c r="A455" s="13"/>
      <c r="F455" s="14"/>
    </row>
    <row r="456">
      <c r="A456" s="13"/>
      <c r="F456" s="14"/>
    </row>
    <row r="457">
      <c r="A457" s="13"/>
      <c r="F457" s="14"/>
    </row>
    <row r="458">
      <c r="A458" s="13"/>
      <c r="F458" s="14"/>
    </row>
    <row r="459">
      <c r="A459" s="13"/>
      <c r="F459" s="14"/>
    </row>
    <row r="460">
      <c r="A460" s="13"/>
      <c r="F460" s="14"/>
    </row>
    <row r="461">
      <c r="A461" s="13"/>
      <c r="F461" s="14"/>
    </row>
    <row r="462">
      <c r="A462" s="13"/>
      <c r="F462" s="14"/>
    </row>
    <row r="463">
      <c r="A463" s="13"/>
      <c r="F463" s="14"/>
    </row>
    <row r="464">
      <c r="A464" s="13"/>
      <c r="F464" s="14"/>
    </row>
    <row r="465">
      <c r="A465" s="13"/>
      <c r="F465" s="14"/>
    </row>
    <row r="466">
      <c r="A466" s="13"/>
      <c r="F466" s="14"/>
    </row>
    <row r="467">
      <c r="A467" s="13"/>
      <c r="F467" s="14"/>
    </row>
    <row r="468">
      <c r="A468" s="13"/>
      <c r="F468" s="14"/>
    </row>
    <row r="469">
      <c r="A469" s="13"/>
      <c r="F469" s="14"/>
    </row>
    <row r="470">
      <c r="A470" s="13"/>
      <c r="F470" s="14"/>
    </row>
    <row r="471">
      <c r="A471" s="13"/>
      <c r="F471" s="14"/>
    </row>
    <row r="472">
      <c r="A472" s="13"/>
      <c r="F472" s="14"/>
    </row>
    <row r="473">
      <c r="A473" s="13"/>
      <c r="F473" s="14"/>
    </row>
    <row r="474">
      <c r="A474" s="13"/>
      <c r="F474" s="14"/>
    </row>
    <row r="475">
      <c r="A475" s="13"/>
      <c r="F475" s="14"/>
    </row>
    <row r="476">
      <c r="A476" s="13"/>
      <c r="F476" s="14"/>
    </row>
    <row r="477">
      <c r="A477" s="13"/>
      <c r="F477" s="14"/>
    </row>
    <row r="478">
      <c r="A478" s="13"/>
      <c r="F478" s="14"/>
    </row>
    <row r="479">
      <c r="A479" s="13"/>
      <c r="F479" s="14"/>
    </row>
    <row r="480">
      <c r="A480" s="13"/>
      <c r="F480" s="14"/>
    </row>
    <row r="481">
      <c r="A481" s="13"/>
      <c r="F481" s="14"/>
    </row>
    <row r="482">
      <c r="A482" s="13"/>
      <c r="F482" s="14"/>
    </row>
    <row r="483">
      <c r="A483" s="13"/>
      <c r="F483" s="14"/>
    </row>
    <row r="484">
      <c r="A484" s="13"/>
      <c r="F484" s="14"/>
    </row>
    <row r="485">
      <c r="A485" s="13"/>
      <c r="F485" s="14"/>
    </row>
    <row r="486">
      <c r="A486" s="13"/>
      <c r="F486" s="14"/>
    </row>
    <row r="487">
      <c r="A487" s="13"/>
      <c r="F487" s="14"/>
    </row>
    <row r="488">
      <c r="A488" s="13"/>
      <c r="F488" s="14"/>
    </row>
    <row r="489">
      <c r="A489" s="13"/>
      <c r="F489" s="14"/>
    </row>
    <row r="490">
      <c r="A490" s="13"/>
      <c r="F490" s="14"/>
    </row>
    <row r="491">
      <c r="A491" s="13"/>
      <c r="F491" s="14"/>
    </row>
    <row r="492">
      <c r="A492" s="13"/>
      <c r="F492" s="14"/>
    </row>
    <row r="493">
      <c r="A493" s="13"/>
      <c r="F493" s="14"/>
    </row>
    <row r="494">
      <c r="A494" s="13"/>
      <c r="F494" s="14"/>
    </row>
    <row r="495">
      <c r="A495" s="13"/>
      <c r="F495" s="14"/>
    </row>
    <row r="496">
      <c r="A496" s="13"/>
      <c r="F496" s="14"/>
    </row>
    <row r="497">
      <c r="A497" s="13"/>
      <c r="F497" s="14"/>
    </row>
    <row r="498">
      <c r="A498" s="13"/>
      <c r="F498" s="14"/>
    </row>
    <row r="499">
      <c r="A499" s="13"/>
      <c r="F499" s="14"/>
    </row>
    <row r="500">
      <c r="A500" s="13"/>
      <c r="F500" s="14"/>
    </row>
    <row r="501">
      <c r="A501" s="13"/>
      <c r="F501" s="14"/>
    </row>
    <row r="502">
      <c r="A502" s="13"/>
      <c r="F502" s="14"/>
    </row>
    <row r="503">
      <c r="A503" s="13"/>
      <c r="F503" s="14"/>
    </row>
    <row r="504">
      <c r="A504" s="13"/>
      <c r="F504" s="14"/>
    </row>
    <row r="505">
      <c r="A505" s="13"/>
      <c r="F505" s="14"/>
    </row>
    <row r="506">
      <c r="A506" s="13"/>
      <c r="F506" s="14"/>
    </row>
    <row r="507">
      <c r="A507" s="13"/>
      <c r="F507" s="14"/>
    </row>
    <row r="508">
      <c r="A508" s="13"/>
      <c r="F508" s="14"/>
    </row>
    <row r="509">
      <c r="A509" s="13"/>
      <c r="F509" s="14"/>
    </row>
    <row r="510">
      <c r="A510" s="13"/>
      <c r="F510" s="14"/>
    </row>
    <row r="511">
      <c r="A511" s="13"/>
      <c r="F511" s="14"/>
    </row>
    <row r="512">
      <c r="A512" s="13"/>
      <c r="F512" s="14"/>
    </row>
    <row r="513">
      <c r="A513" s="13"/>
      <c r="F513" s="14"/>
    </row>
    <row r="514">
      <c r="A514" s="13"/>
      <c r="F514" s="14"/>
    </row>
    <row r="515">
      <c r="A515" s="13"/>
      <c r="F515" s="14"/>
    </row>
    <row r="516">
      <c r="A516" s="13"/>
      <c r="F516" s="14"/>
    </row>
    <row r="517">
      <c r="A517" s="13"/>
      <c r="F517" s="14"/>
    </row>
    <row r="518">
      <c r="A518" s="13"/>
      <c r="F518" s="14"/>
    </row>
    <row r="519">
      <c r="A519" s="13"/>
      <c r="F519" s="14"/>
    </row>
    <row r="520">
      <c r="A520" s="13"/>
      <c r="F520" s="14"/>
    </row>
    <row r="521">
      <c r="A521" s="13"/>
      <c r="F521" s="14"/>
    </row>
    <row r="522">
      <c r="A522" s="13"/>
      <c r="F522" s="14"/>
    </row>
    <row r="523">
      <c r="A523" s="13"/>
      <c r="F523" s="14"/>
    </row>
    <row r="524">
      <c r="A524" s="13"/>
      <c r="F524" s="14"/>
    </row>
    <row r="525">
      <c r="A525" s="13"/>
      <c r="F525" s="14"/>
    </row>
    <row r="526">
      <c r="A526" s="13"/>
      <c r="F526" s="14"/>
    </row>
    <row r="527">
      <c r="A527" s="13"/>
      <c r="F527" s="14"/>
    </row>
    <row r="528">
      <c r="A528" s="13"/>
      <c r="F528" s="14"/>
    </row>
    <row r="529">
      <c r="A529" s="13"/>
      <c r="F529" s="14"/>
    </row>
    <row r="530">
      <c r="A530" s="13"/>
      <c r="F530" s="14"/>
    </row>
    <row r="531">
      <c r="A531" s="13"/>
      <c r="F531" s="14"/>
    </row>
    <row r="532">
      <c r="A532" s="13"/>
      <c r="F532" s="14"/>
    </row>
    <row r="533">
      <c r="A533" s="13"/>
      <c r="F533" s="14"/>
    </row>
    <row r="534">
      <c r="A534" s="13"/>
      <c r="F534" s="14"/>
    </row>
    <row r="535">
      <c r="A535" s="13"/>
      <c r="F535" s="14"/>
    </row>
    <row r="536">
      <c r="A536" s="13"/>
      <c r="F536" s="14"/>
    </row>
    <row r="537">
      <c r="A537" s="13"/>
      <c r="F537" s="14"/>
    </row>
    <row r="538">
      <c r="A538" s="13"/>
      <c r="F538" s="14"/>
    </row>
    <row r="539">
      <c r="A539" s="13"/>
      <c r="F539" s="14"/>
    </row>
    <row r="540">
      <c r="A540" s="13"/>
      <c r="F540" s="14"/>
    </row>
    <row r="541">
      <c r="A541" s="13"/>
      <c r="F541" s="14"/>
    </row>
    <row r="542">
      <c r="A542" s="13"/>
      <c r="F542" s="14"/>
    </row>
    <row r="543">
      <c r="A543" s="13"/>
      <c r="F543" s="14"/>
    </row>
    <row r="544">
      <c r="A544" s="13"/>
      <c r="F544" s="14"/>
    </row>
    <row r="545">
      <c r="A545" s="13"/>
      <c r="F545" s="14"/>
    </row>
    <row r="546">
      <c r="A546" s="13"/>
      <c r="F546" s="14"/>
    </row>
    <row r="547">
      <c r="A547" s="13"/>
      <c r="F547" s="14"/>
    </row>
    <row r="548">
      <c r="A548" s="13"/>
      <c r="F548" s="14"/>
    </row>
    <row r="549">
      <c r="A549" s="13"/>
      <c r="F549" s="14"/>
    </row>
    <row r="550">
      <c r="A550" s="13"/>
      <c r="F550" s="14"/>
    </row>
    <row r="551">
      <c r="A551" s="13"/>
      <c r="F551" s="14"/>
    </row>
    <row r="552">
      <c r="A552" s="13"/>
      <c r="F552" s="14"/>
    </row>
    <row r="553">
      <c r="A553" s="13"/>
      <c r="F553" s="14"/>
    </row>
    <row r="554">
      <c r="A554" s="13"/>
      <c r="F554" s="14"/>
    </row>
    <row r="555">
      <c r="A555" s="13"/>
      <c r="F555" s="14"/>
    </row>
    <row r="556">
      <c r="A556" s="13"/>
      <c r="F556" s="14"/>
    </row>
    <row r="557">
      <c r="A557" s="13"/>
      <c r="F557" s="14"/>
    </row>
    <row r="558">
      <c r="A558" s="13"/>
      <c r="F558" s="14"/>
    </row>
    <row r="559">
      <c r="A559" s="13"/>
      <c r="F559" s="14"/>
    </row>
    <row r="560">
      <c r="A560" s="13"/>
      <c r="F560" s="14"/>
    </row>
    <row r="561">
      <c r="A561" s="13"/>
      <c r="F561" s="14"/>
    </row>
    <row r="562">
      <c r="A562" s="13"/>
      <c r="F562" s="14"/>
    </row>
    <row r="563">
      <c r="A563" s="13"/>
      <c r="F563" s="14"/>
    </row>
    <row r="564">
      <c r="A564" s="13"/>
      <c r="F564" s="14"/>
    </row>
    <row r="565">
      <c r="A565" s="13"/>
      <c r="F565" s="14"/>
    </row>
    <row r="566">
      <c r="A566" s="13"/>
      <c r="F566" s="14"/>
    </row>
    <row r="567">
      <c r="A567" s="13"/>
      <c r="F567" s="14"/>
    </row>
    <row r="568">
      <c r="A568" s="13"/>
      <c r="F568" s="14"/>
    </row>
    <row r="569">
      <c r="A569" s="13"/>
      <c r="F569" s="14"/>
    </row>
    <row r="570">
      <c r="A570" s="13"/>
      <c r="F570" s="14"/>
    </row>
    <row r="571">
      <c r="A571" s="13"/>
      <c r="F571" s="14"/>
    </row>
    <row r="572">
      <c r="A572" s="13"/>
      <c r="F572" s="14"/>
    </row>
    <row r="573">
      <c r="A573" s="13"/>
      <c r="F573" s="14"/>
    </row>
    <row r="574">
      <c r="A574" s="13"/>
      <c r="F574" s="14"/>
    </row>
    <row r="575">
      <c r="A575" s="13"/>
      <c r="F575" s="14"/>
    </row>
    <row r="576">
      <c r="A576" s="13"/>
      <c r="F576" s="14"/>
    </row>
    <row r="577">
      <c r="A577" s="13"/>
      <c r="F577" s="14"/>
    </row>
    <row r="578">
      <c r="A578" s="13"/>
      <c r="F578" s="14"/>
    </row>
    <row r="579">
      <c r="A579" s="13"/>
      <c r="F579" s="14"/>
    </row>
    <row r="580">
      <c r="A580" s="13"/>
      <c r="F580" s="14"/>
    </row>
    <row r="581">
      <c r="A581" s="13"/>
      <c r="F581" s="14"/>
    </row>
    <row r="582">
      <c r="A582" s="13"/>
      <c r="F582" s="14"/>
    </row>
    <row r="583">
      <c r="A583" s="13"/>
      <c r="F583" s="14"/>
    </row>
    <row r="584">
      <c r="A584" s="13"/>
      <c r="F584" s="14"/>
    </row>
    <row r="585">
      <c r="A585" s="13"/>
      <c r="F585" s="14"/>
    </row>
    <row r="586">
      <c r="A586" s="13"/>
      <c r="F586" s="14"/>
    </row>
    <row r="587">
      <c r="A587" s="13"/>
      <c r="F587" s="14"/>
    </row>
    <row r="588">
      <c r="A588" s="13"/>
      <c r="F588" s="14"/>
    </row>
    <row r="589">
      <c r="A589" s="13"/>
      <c r="F589" s="14"/>
    </row>
    <row r="590">
      <c r="A590" s="13"/>
      <c r="F590" s="14"/>
    </row>
    <row r="591">
      <c r="A591" s="13"/>
      <c r="F591" s="14"/>
    </row>
    <row r="592">
      <c r="A592" s="13"/>
      <c r="F592" s="14"/>
    </row>
    <row r="593">
      <c r="A593" s="13"/>
      <c r="F593" s="14"/>
    </row>
    <row r="594">
      <c r="A594" s="13"/>
      <c r="F594" s="14"/>
    </row>
    <row r="595">
      <c r="A595" s="13"/>
      <c r="F595" s="14"/>
    </row>
    <row r="596">
      <c r="A596" s="13"/>
      <c r="F596" s="14"/>
    </row>
    <row r="597">
      <c r="A597" s="13"/>
      <c r="F597" s="14"/>
    </row>
    <row r="598">
      <c r="A598" s="13"/>
      <c r="F598" s="14"/>
    </row>
    <row r="599">
      <c r="A599" s="13"/>
      <c r="F599" s="14"/>
    </row>
    <row r="600">
      <c r="A600" s="13"/>
      <c r="F600" s="14"/>
    </row>
    <row r="601">
      <c r="A601" s="13"/>
      <c r="F601" s="14"/>
    </row>
    <row r="602">
      <c r="A602" s="13"/>
      <c r="F602" s="14"/>
    </row>
    <row r="603">
      <c r="A603" s="13"/>
      <c r="F603" s="14"/>
    </row>
    <row r="604">
      <c r="A604" s="13"/>
      <c r="F604" s="14"/>
    </row>
    <row r="605">
      <c r="A605" s="13"/>
      <c r="F605" s="14"/>
    </row>
    <row r="606">
      <c r="A606" s="13"/>
      <c r="F606" s="14"/>
    </row>
    <row r="607">
      <c r="A607" s="13"/>
      <c r="F607" s="14"/>
    </row>
    <row r="608">
      <c r="A608" s="13"/>
      <c r="F608" s="14"/>
    </row>
    <row r="609">
      <c r="A609" s="13"/>
      <c r="F609" s="14"/>
    </row>
    <row r="610">
      <c r="A610" s="13"/>
      <c r="F610" s="14"/>
    </row>
    <row r="611">
      <c r="A611" s="13"/>
      <c r="F611" s="14"/>
    </row>
    <row r="612">
      <c r="A612" s="13"/>
      <c r="F612" s="14"/>
    </row>
    <row r="613">
      <c r="A613" s="13"/>
      <c r="F613" s="14"/>
    </row>
    <row r="614">
      <c r="A614" s="13"/>
      <c r="F614" s="14"/>
    </row>
    <row r="615">
      <c r="A615" s="13"/>
      <c r="F615" s="14"/>
    </row>
    <row r="616">
      <c r="A616" s="13"/>
      <c r="F616" s="14"/>
    </row>
    <row r="617">
      <c r="A617" s="13"/>
      <c r="F617" s="14"/>
    </row>
    <row r="618">
      <c r="A618" s="13"/>
      <c r="F618" s="14"/>
    </row>
    <row r="619">
      <c r="A619" s="13"/>
      <c r="F619" s="14"/>
    </row>
    <row r="620">
      <c r="A620" s="13"/>
      <c r="F620" s="14"/>
    </row>
    <row r="621">
      <c r="A621" s="13"/>
      <c r="F621" s="14"/>
    </row>
    <row r="622">
      <c r="A622" s="13"/>
      <c r="F622" s="14"/>
    </row>
    <row r="623">
      <c r="A623" s="13"/>
      <c r="F623" s="14"/>
    </row>
    <row r="624">
      <c r="A624" s="13"/>
      <c r="F624" s="14"/>
    </row>
    <row r="625">
      <c r="A625" s="13"/>
      <c r="F625" s="14"/>
    </row>
    <row r="626">
      <c r="A626" s="13"/>
      <c r="F626" s="14"/>
    </row>
    <row r="627">
      <c r="A627" s="13"/>
      <c r="F627" s="14"/>
    </row>
    <row r="628">
      <c r="A628" s="13"/>
      <c r="F628" s="14"/>
    </row>
    <row r="629">
      <c r="A629" s="13"/>
      <c r="F629" s="14"/>
    </row>
    <row r="630">
      <c r="A630" s="13"/>
      <c r="F630" s="14"/>
    </row>
    <row r="631">
      <c r="A631" s="13"/>
      <c r="F631" s="14"/>
    </row>
    <row r="632">
      <c r="A632" s="13"/>
      <c r="F632" s="14"/>
    </row>
    <row r="633">
      <c r="A633" s="13"/>
      <c r="F633" s="14"/>
    </row>
    <row r="634">
      <c r="A634" s="13"/>
      <c r="F634" s="14"/>
    </row>
    <row r="635">
      <c r="A635" s="13"/>
      <c r="F635" s="14"/>
    </row>
    <row r="636">
      <c r="A636" s="13"/>
      <c r="F636" s="14"/>
    </row>
    <row r="637">
      <c r="A637" s="13"/>
      <c r="F637" s="14"/>
    </row>
    <row r="638">
      <c r="A638" s="13"/>
      <c r="F638" s="14"/>
    </row>
    <row r="639">
      <c r="A639" s="13"/>
      <c r="F639" s="14"/>
    </row>
    <row r="640">
      <c r="A640" s="13"/>
      <c r="F640" s="14"/>
    </row>
    <row r="641">
      <c r="A641" s="13"/>
      <c r="F641" s="14"/>
    </row>
    <row r="642">
      <c r="A642" s="13"/>
      <c r="F642" s="14"/>
    </row>
    <row r="643">
      <c r="A643" s="13"/>
      <c r="F643" s="14"/>
    </row>
    <row r="644">
      <c r="A644" s="13"/>
      <c r="F644" s="14"/>
    </row>
    <row r="645">
      <c r="A645" s="13"/>
      <c r="F645" s="14"/>
    </row>
    <row r="646">
      <c r="A646" s="13"/>
      <c r="F646" s="14"/>
    </row>
    <row r="647">
      <c r="A647" s="13"/>
      <c r="F647" s="14"/>
    </row>
    <row r="648">
      <c r="A648" s="13"/>
      <c r="F648" s="14"/>
    </row>
    <row r="649">
      <c r="A649" s="13"/>
      <c r="F649" s="14"/>
    </row>
    <row r="650">
      <c r="A650" s="13"/>
      <c r="F650" s="14"/>
    </row>
    <row r="651">
      <c r="A651" s="13"/>
      <c r="F651" s="14"/>
    </row>
    <row r="652">
      <c r="A652" s="13"/>
      <c r="F652" s="14"/>
    </row>
    <row r="653">
      <c r="A653" s="13"/>
      <c r="F653" s="14"/>
    </row>
    <row r="654">
      <c r="A654" s="13"/>
      <c r="F654" s="14"/>
    </row>
    <row r="655">
      <c r="A655" s="13"/>
      <c r="F655" s="14"/>
    </row>
    <row r="656">
      <c r="A656" s="13"/>
      <c r="F656" s="14"/>
    </row>
    <row r="657">
      <c r="A657" s="13"/>
      <c r="F657" s="14"/>
    </row>
    <row r="658">
      <c r="A658" s="13"/>
      <c r="F658" s="14"/>
    </row>
    <row r="659">
      <c r="A659" s="13"/>
      <c r="F659" s="14"/>
    </row>
    <row r="660">
      <c r="A660" s="13"/>
      <c r="F660" s="14"/>
    </row>
    <row r="661">
      <c r="A661" s="13"/>
      <c r="F661" s="14"/>
    </row>
    <row r="662">
      <c r="A662" s="13"/>
      <c r="F662" s="14"/>
    </row>
    <row r="663">
      <c r="A663" s="13"/>
      <c r="F663" s="14"/>
    </row>
    <row r="664">
      <c r="A664" s="13"/>
      <c r="F664" s="14"/>
    </row>
    <row r="665">
      <c r="A665" s="13"/>
      <c r="F665" s="14"/>
    </row>
    <row r="666">
      <c r="A666" s="13"/>
      <c r="F666" s="14"/>
    </row>
    <row r="667">
      <c r="A667" s="13"/>
      <c r="F667" s="14"/>
    </row>
    <row r="668">
      <c r="A668" s="13"/>
      <c r="F668" s="14"/>
    </row>
    <row r="669">
      <c r="A669" s="13"/>
      <c r="F669" s="14"/>
    </row>
    <row r="670">
      <c r="A670" s="13"/>
      <c r="F670" s="14"/>
    </row>
    <row r="671">
      <c r="A671" s="13"/>
      <c r="F671" s="14"/>
    </row>
    <row r="672">
      <c r="A672" s="13"/>
      <c r="F672" s="14"/>
    </row>
    <row r="673">
      <c r="A673" s="13"/>
      <c r="F673" s="14"/>
    </row>
    <row r="674">
      <c r="A674" s="13"/>
      <c r="F674" s="14"/>
    </row>
    <row r="675">
      <c r="A675" s="13"/>
      <c r="F675" s="14"/>
    </row>
    <row r="676">
      <c r="A676" s="13"/>
      <c r="F676" s="14"/>
    </row>
    <row r="677">
      <c r="A677" s="13"/>
      <c r="F677" s="14"/>
    </row>
    <row r="678">
      <c r="A678" s="13"/>
      <c r="F678" s="14"/>
    </row>
    <row r="679">
      <c r="A679" s="13"/>
      <c r="F679" s="14"/>
    </row>
    <row r="680">
      <c r="A680" s="13"/>
      <c r="F680" s="14"/>
    </row>
    <row r="681">
      <c r="A681" s="13"/>
      <c r="F681" s="14"/>
    </row>
    <row r="682">
      <c r="A682" s="13"/>
      <c r="F682" s="14"/>
    </row>
    <row r="683">
      <c r="A683" s="13"/>
      <c r="F683" s="14"/>
    </row>
    <row r="684">
      <c r="A684" s="13"/>
      <c r="F684" s="14"/>
    </row>
    <row r="685">
      <c r="A685" s="13"/>
      <c r="F685" s="14"/>
    </row>
    <row r="686">
      <c r="A686" s="13"/>
      <c r="F686" s="14"/>
    </row>
    <row r="687">
      <c r="A687" s="13"/>
      <c r="F687" s="14"/>
    </row>
    <row r="688">
      <c r="A688" s="13"/>
      <c r="F688" s="14"/>
    </row>
    <row r="689">
      <c r="A689" s="13"/>
      <c r="F689" s="14"/>
    </row>
    <row r="690">
      <c r="A690" s="13"/>
      <c r="F690" s="14"/>
    </row>
    <row r="691">
      <c r="A691" s="13"/>
      <c r="F691" s="14"/>
    </row>
    <row r="692">
      <c r="A692" s="13"/>
      <c r="F692" s="14"/>
    </row>
    <row r="693">
      <c r="A693" s="13"/>
      <c r="F693" s="14"/>
    </row>
    <row r="694">
      <c r="A694" s="13"/>
      <c r="F694" s="14"/>
    </row>
    <row r="695">
      <c r="A695" s="13"/>
      <c r="F695" s="14"/>
    </row>
    <row r="696">
      <c r="A696" s="13"/>
      <c r="F696" s="14"/>
    </row>
    <row r="697">
      <c r="A697" s="13"/>
      <c r="F697" s="14"/>
    </row>
    <row r="698">
      <c r="A698" s="13"/>
      <c r="F698" s="14"/>
    </row>
    <row r="699">
      <c r="A699" s="13"/>
      <c r="F699" s="14"/>
    </row>
    <row r="700">
      <c r="A700" s="13"/>
      <c r="F700" s="14"/>
    </row>
    <row r="701">
      <c r="A701" s="13"/>
      <c r="F701" s="14"/>
    </row>
    <row r="702">
      <c r="A702" s="13"/>
      <c r="F702" s="14"/>
    </row>
    <row r="703">
      <c r="A703" s="13"/>
      <c r="F703" s="14"/>
    </row>
    <row r="704">
      <c r="A704" s="13"/>
      <c r="F704" s="14"/>
    </row>
    <row r="705">
      <c r="A705" s="13"/>
      <c r="F705" s="14"/>
    </row>
    <row r="706">
      <c r="A706" s="13"/>
      <c r="F706" s="14"/>
    </row>
    <row r="707">
      <c r="A707" s="13"/>
      <c r="F707" s="14"/>
    </row>
    <row r="708">
      <c r="A708" s="13"/>
      <c r="F708" s="14"/>
    </row>
    <row r="709">
      <c r="A709" s="13"/>
      <c r="F709" s="14"/>
    </row>
    <row r="710">
      <c r="A710" s="13"/>
      <c r="F710" s="14"/>
    </row>
    <row r="711">
      <c r="A711" s="13"/>
      <c r="F711" s="14"/>
    </row>
    <row r="712">
      <c r="A712" s="13"/>
      <c r="F712" s="14"/>
    </row>
    <row r="713">
      <c r="A713" s="13"/>
      <c r="F713" s="14"/>
    </row>
    <row r="714">
      <c r="A714" s="13"/>
      <c r="F714" s="14"/>
    </row>
    <row r="715">
      <c r="A715" s="13"/>
      <c r="F715" s="14"/>
    </row>
    <row r="716">
      <c r="A716" s="13"/>
      <c r="F716" s="14"/>
    </row>
    <row r="717">
      <c r="A717" s="13"/>
      <c r="F717" s="14"/>
    </row>
    <row r="718">
      <c r="A718" s="13"/>
      <c r="F718" s="14"/>
    </row>
    <row r="719">
      <c r="A719" s="13"/>
      <c r="F719" s="14"/>
    </row>
    <row r="720">
      <c r="A720" s="13"/>
      <c r="F720" s="14"/>
    </row>
    <row r="721">
      <c r="A721" s="13"/>
      <c r="F721" s="14"/>
    </row>
    <row r="722">
      <c r="A722" s="13"/>
      <c r="F722" s="14"/>
    </row>
    <row r="723">
      <c r="A723" s="13"/>
      <c r="F723" s="14"/>
    </row>
    <row r="724">
      <c r="A724" s="13"/>
      <c r="F724" s="14"/>
    </row>
    <row r="725">
      <c r="A725" s="13"/>
      <c r="F725" s="14"/>
    </row>
    <row r="726">
      <c r="A726" s="13"/>
      <c r="F726" s="14"/>
    </row>
    <row r="727">
      <c r="A727" s="13"/>
      <c r="F727" s="14"/>
    </row>
    <row r="728">
      <c r="A728" s="13"/>
      <c r="F728" s="14"/>
    </row>
    <row r="729">
      <c r="A729" s="13"/>
      <c r="F729" s="14"/>
    </row>
    <row r="730">
      <c r="A730" s="13"/>
      <c r="F730" s="14"/>
    </row>
    <row r="731">
      <c r="A731" s="13"/>
      <c r="F731" s="14"/>
    </row>
    <row r="732">
      <c r="A732" s="13"/>
      <c r="F732" s="14"/>
    </row>
    <row r="733">
      <c r="A733" s="13"/>
      <c r="F733" s="14"/>
    </row>
    <row r="734">
      <c r="A734" s="13"/>
      <c r="F734" s="14"/>
    </row>
    <row r="735">
      <c r="A735" s="13"/>
      <c r="F735" s="14"/>
    </row>
    <row r="736">
      <c r="A736" s="13"/>
      <c r="F736" s="14"/>
    </row>
    <row r="737">
      <c r="A737" s="13"/>
      <c r="F737" s="14"/>
    </row>
    <row r="738">
      <c r="A738" s="13"/>
      <c r="F738" s="14"/>
    </row>
    <row r="739">
      <c r="A739" s="13"/>
      <c r="F739" s="14"/>
    </row>
    <row r="740">
      <c r="A740" s="13"/>
      <c r="F740" s="14"/>
    </row>
    <row r="741">
      <c r="A741" s="13"/>
      <c r="F741" s="14"/>
    </row>
    <row r="742">
      <c r="A742" s="13"/>
      <c r="F742" s="14"/>
    </row>
    <row r="743">
      <c r="A743" s="13"/>
      <c r="F743" s="14"/>
    </row>
    <row r="744">
      <c r="A744" s="13"/>
      <c r="F744" s="14"/>
    </row>
    <row r="745">
      <c r="A745" s="13"/>
      <c r="F745" s="14"/>
    </row>
    <row r="746">
      <c r="A746" s="13"/>
      <c r="F746" s="14"/>
    </row>
    <row r="747">
      <c r="A747" s="13"/>
      <c r="F747" s="14"/>
    </row>
    <row r="748">
      <c r="A748" s="13"/>
      <c r="F748" s="14"/>
    </row>
    <row r="749">
      <c r="A749" s="13"/>
      <c r="F749" s="14"/>
    </row>
    <row r="750">
      <c r="A750" s="13"/>
      <c r="F750" s="14"/>
    </row>
    <row r="751">
      <c r="A751" s="13"/>
      <c r="F751" s="14"/>
    </row>
    <row r="752">
      <c r="A752" s="13"/>
      <c r="F752" s="14"/>
    </row>
    <row r="753">
      <c r="A753" s="13"/>
      <c r="F753" s="14"/>
    </row>
    <row r="754">
      <c r="A754" s="13"/>
      <c r="F754" s="14"/>
    </row>
    <row r="755">
      <c r="A755" s="13"/>
      <c r="F755" s="14"/>
    </row>
    <row r="756">
      <c r="A756" s="13"/>
      <c r="F756" s="14"/>
    </row>
    <row r="757">
      <c r="A757" s="13"/>
      <c r="F757" s="14"/>
    </row>
    <row r="758">
      <c r="A758" s="13"/>
      <c r="F758" s="14"/>
    </row>
    <row r="759">
      <c r="A759" s="13"/>
      <c r="F759" s="14"/>
    </row>
    <row r="760">
      <c r="A760" s="13"/>
      <c r="F760" s="14"/>
    </row>
    <row r="761">
      <c r="A761" s="13"/>
      <c r="F761" s="14"/>
    </row>
    <row r="762">
      <c r="A762" s="13"/>
      <c r="F762" s="14"/>
    </row>
    <row r="763">
      <c r="A763" s="13"/>
      <c r="F763" s="14"/>
    </row>
    <row r="764">
      <c r="A764" s="13"/>
      <c r="F764" s="14"/>
    </row>
    <row r="765">
      <c r="A765" s="13"/>
      <c r="F765" s="14"/>
    </row>
    <row r="766">
      <c r="A766" s="13"/>
      <c r="F766" s="14"/>
    </row>
    <row r="767">
      <c r="A767" s="13"/>
      <c r="F767" s="14"/>
    </row>
    <row r="768">
      <c r="A768" s="13"/>
      <c r="F768" s="14"/>
    </row>
    <row r="769">
      <c r="A769" s="13"/>
      <c r="F769" s="14"/>
    </row>
    <row r="770">
      <c r="A770" s="13"/>
      <c r="F770" s="14"/>
    </row>
    <row r="771">
      <c r="A771" s="13"/>
      <c r="F771" s="14"/>
    </row>
    <row r="772">
      <c r="A772" s="13"/>
      <c r="F772" s="14"/>
    </row>
    <row r="773">
      <c r="A773" s="13"/>
      <c r="F773" s="14"/>
    </row>
    <row r="774">
      <c r="A774" s="13"/>
      <c r="F774" s="14"/>
    </row>
    <row r="775">
      <c r="A775" s="13"/>
      <c r="F775" s="14"/>
    </row>
    <row r="776">
      <c r="A776" s="13"/>
      <c r="F776" s="14"/>
    </row>
    <row r="777">
      <c r="A777" s="13"/>
      <c r="F777" s="14"/>
    </row>
    <row r="778">
      <c r="A778" s="13"/>
      <c r="F778" s="14"/>
    </row>
    <row r="779">
      <c r="A779" s="13"/>
      <c r="F779" s="14"/>
    </row>
    <row r="780">
      <c r="A780" s="13"/>
      <c r="F780" s="14"/>
    </row>
    <row r="781">
      <c r="A781" s="13"/>
      <c r="F781" s="14"/>
    </row>
    <row r="782">
      <c r="A782" s="13"/>
      <c r="F782" s="14"/>
    </row>
    <row r="783">
      <c r="A783" s="13"/>
      <c r="F783" s="14"/>
    </row>
    <row r="784">
      <c r="A784" s="13"/>
      <c r="F784" s="14"/>
    </row>
    <row r="785">
      <c r="A785" s="13"/>
      <c r="F785" s="14"/>
    </row>
    <row r="786">
      <c r="A786" s="13"/>
      <c r="F786" s="14"/>
    </row>
    <row r="787">
      <c r="A787" s="13"/>
      <c r="F787" s="14"/>
    </row>
    <row r="788">
      <c r="A788" s="13"/>
      <c r="F788" s="14"/>
    </row>
    <row r="789">
      <c r="A789" s="13"/>
      <c r="F789" s="14"/>
    </row>
    <row r="790">
      <c r="A790" s="13"/>
      <c r="F790" s="14"/>
    </row>
    <row r="791">
      <c r="A791" s="13"/>
      <c r="F791" s="14"/>
    </row>
    <row r="792">
      <c r="A792" s="13"/>
      <c r="F792" s="14"/>
    </row>
    <row r="793">
      <c r="A793" s="13"/>
      <c r="F793" s="14"/>
    </row>
    <row r="794">
      <c r="A794" s="13"/>
      <c r="F794" s="14"/>
    </row>
    <row r="795">
      <c r="A795" s="13"/>
      <c r="F795" s="14"/>
    </row>
    <row r="796">
      <c r="A796" s="13"/>
      <c r="F796" s="14"/>
    </row>
    <row r="797">
      <c r="A797" s="13"/>
      <c r="F797" s="14"/>
    </row>
    <row r="798">
      <c r="A798" s="13"/>
      <c r="F798" s="14"/>
    </row>
    <row r="799">
      <c r="A799" s="13"/>
      <c r="F799" s="14"/>
    </row>
    <row r="800">
      <c r="A800" s="13"/>
      <c r="F800" s="14"/>
    </row>
    <row r="801">
      <c r="A801" s="13"/>
      <c r="F801" s="14"/>
    </row>
    <row r="802">
      <c r="A802" s="13"/>
      <c r="F802" s="14"/>
    </row>
    <row r="803">
      <c r="A803" s="13"/>
      <c r="F803" s="14"/>
    </row>
    <row r="804">
      <c r="A804" s="13"/>
      <c r="F804" s="14"/>
    </row>
    <row r="805">
      <c r="A805" s="13"/>
      <c r="F805" s="14"/>
    </row>
    <row r="806">
      <c r="A806" s="13"/>
      <c r="F806" s="14"/>
    </row>
    <row r="807">
      <c r="A807" s="13"/>
      <c r="F807" s="14"/>
    </row>
    <row r="808">
      <c r="A808" s="13"/>
      <c r="F808" s="14"/>
    </row>
    <row r="809">
      <c r="A809" s="13"/>
      <c r="F809" s="14"/>
    </row>
    <row r="810">
      <c r="A810" s="13"/>
      <c r="F810" s="14"/>
    </row>
    <row r="811">
      <c r="A811" s="13"/>
      <c r="F811" s="14"/>
    </row>
    <row r="812">
      <c r="A812" s="13"/>
      <c r="F812" s="14"/>
    </row>
    <row r="813">
      <c r="A813" s="13"/>
      <c r="F813" s="14"/>
    </row>
    <row r="814">
      <c r="A814" s="13"/>
      <c r="F814" s="14"/>
    </row>
    <row r="815">
      <c r="A815" s="13"/>
      <c r="F815" s="14"/>
    </row>
    <row r="816">
      <c r="A816" s="13"/>
      <c r="F816" s="14"/>
    </row>
    <row r="817">
      <c r="A817" s="13"/>
      <c r="F817" s="14"/>
    </row>
    <row r="818">
      <c r="A818" s="13"/>
      <c r="F818" s="14"/>
    </row>
    <row r="819">
      <c r="A819" s="13"/>
      <c r="F819" s="14"/>
    </row>
    <row r="820">
      <c r="A820" s="13"/>
      <c r="F820" s="14"/>
    </row>
    <row r="821">
      <c r="A821" s="13"/>
      <c r="F821" s="14"/>
    </row>
    <row r="822">
      <c r="A822" s="13"/>
      <c r="F822" s="14"/>
    </row>
    <row r="823">
      <c r="A823" s="13"/>
      <c r="F823" s="14"/>
    </row>
    <row r="824">
      <c r="A824" s="13"/>
      <c r="F824" s="14"/>
    </row>
    <row r="825">
      <c r="A825" s="13"/>
      <c r="F825" s="14"/>
    </row>
    <row r="826">
      <c r="A826" s="13"/>
      <c r="F826" s="14"/>
    </row>
    <row r="827">
      <c r="A827" s="13"/>
      <c r="F827" s="14"/>
    </row>
    <row r="828">
      <c r="A828" s="13"/>
      <c r="F828" s="14"/>
    </row>
    <row r="829">
      <c r="A829" s="13"/>
      <c r="F829" s="14"/>
    </row>
    <row r="830">
      <c r="A830" s="13"/>
      <c r="F830" s="14"/>
    </row>
    <row r="831">
      <c r="A831" s="13"/>
      <c r="F831" s="14"/>
    </row>
    <row r="832">
      <c r="A832" s="13"/>
      <c r="F832" s="14"/>
    </row>
    <row r="833">
      <c r="A833" s="13"/>
      <c r="F833" s="14"/>
    </row>
    <row r="834">
      <c r="A834" s="13"/>
      <c r="F834" s="14"/>
    </row>
    <row r="835">
      <c r="A835" s="13"/>
      <c r="F835" s="14"/>
    </row>
    <row r="836">
      <c r="A836" s="13"/>
      <c r="F836" s="14"/>
    </row>
    <row r="837">
      <c r="A837" s="13"/>
      <c r="F837" s="14"/>
    </row>
    <row r="838">
      <c r="A838" s="13"/>
      <c r="F838" s="14"/>
    </row>
    <row r="839">
      <c r="A839" s="13"/>
      <c r="F839" s="14"/>
    </row>
    <row r="840">
      <c r="A840" s="13"/>
      <c r="F840" s="14"/>
    </row>
    <row r="841">
      <c r="A841" s="13"/>
      <c r="F841" s="14"/>
    </row>
    <row r="842">
      <c r="A842" s="13"/>
      <c r="F842" s="14"/>
    </row>
    <row r="843">
      <c r="A843" s="13"/>
      <c r="F843" s="14"/>
    </row>
    <row r="844">
      <c r="A844" s="13"/>
      <c r="F844" s="14"/>
    </row>
    <row r="845">
      <c r="A845" s="13"/>
      <c r="F845" s="14"/>
    </row>
    <row r="846">
      <c r="A846" s="13"/>
      <c r="F846" s="14"/>
    </row>
    <row r="847">
      <c r="A847" s="13"/>
      <c r="F847" s="14"/>
    </row>
    <row r="848">
      <c r="A848" s="13"/>
      <c r="F848" s="14"/>
    </row>
    <row r="849">
      <c r="A849" s="13"/>
      <c r="F849" s="14"/>
    </row>
    <row r="850">
      <c r="A850" s="13"/>
      <c r="F850" s="14"/>
    </row>
    <row r="851">
      <c r="A851" s="13"/>
      <c r="F851" s="14"/>
    </row>
    <row r="852">
      <c r="A852" s="13"/>
      <c r="F852" s="14"/>
    </row>
    <row r="853">
      <c r="A853" s="13"/>
      <c r="F853" s="14"/>
    </row>
    <row r="854">
      <c r="A854" s="13"/>
      <c r="F854" s="14"/>
    </row>
    <row r="855">
      <c r="A855" s="13"/>
      <c r="F855" s="14"/>
    </row>
    <row r="856">
      <c r="A856" s="13"/>
      <c r="F856" s="14"/>
    </row>
    <row r="857">
      <c r="A857" s="13"/>
      <c r="F857" s="14"/>
    </row>
    <row r="858">
      <c r="A858" s="13"/>
      <c r="F858" s="14"/>
    </row>
    <row r="859">
      <c r="A859" s="13"/>
      <c r="F859" s="14"/>
    </row>
    <row r="860">
      <c r="A860" s="13"/>
      <c r="F860" s="14"/>
    </row>
    <row r="861">
      <c r="A861" s="13"/>
      <c r="F861" s="14"/>
    </row>
    <row r="862">
      <c r="A862" s="13"/>
      <c r="F862" s="14"/>
    </row>
    <row r="863">
      <c r="A863" s="13"/>
      <c r="F863" s="14"/>
    </row>
    <row r="864">
      <c r="A864" s="13"/>
      <c r="F864" s="14"/>
    </row>
    <row r="865">
      <c r="A865" s="13"/>
      <c r="F865" s="14"/>
    </row>
    <row r="866">
      <c r="A866" s="13"/>
      <c r="F866" s="14"/>
    </row>
    <row r="867">
      <c r="A867" s="13"/>
      <c r="F867" s="14"/>
    </row>
    <row r="868">
      <c r="A868" s="13"/>
      <c r="F868" s="14"/>
    </row>
    <row r="869">
      <c r="A869" s="13"/>
      <c r="F869" s="14"/>
    </row>
    <row r="870">
      <c r="A870" s="13"/>
      <c r="F870" s="14"/>
    </row>
    <row r="871">
      <c r="A871" s="13"/>
      <c r="F871" s="14"/>
    </row>
    <row r="872">
      <c r="A872" s="13"/>
      <c r="F872" s="14"/>
    </row>
    <row r="873">
      <c r="A873" s="13"/>
      <c r="F873" s="14"/>
    </row>
    <row r="874">
      <c r="A874" s="13"/>
      <c r="F874" s="14"/>
    </row>
    <row r="875">
      <c r="A875" s="13"/>
      <c r="F875" s="14"/>
    </row>
    <row r="876">
      <c r="A876" s="13"/>
      <c r="F876" s="14"/>
    </row>
    <row r="877">
      <c r="A877" s="13"/>
      <c r="F877" s="14"/>
    </row>
    <row r="878">
      <c r="A878" s="13"/>
      <c r="F878" s="14"/>
    </row>
    <row r="879">
      <c r="A879" s="13"/>
      <c r="F879" s="14"/>
    </row>
    <row r="880">
      <c r="A880" s="13"/>
      <c r="F880" s="14"/>
    </row>
    <row r="881">
      <c r="A881" s="13"/>
      <c r="F881" s="14"/>
    </row>
    <row r="882">
      <c r="A882" s="13"/>
      <c r="F882" s="14"/>
    </row>
    <row r="883">
      <c r="A883" s="13"/>
      <c r="F883" s="14"/>
    </row>
    <row r="884">
      <c r="A884" s="13"/>
      <c r="F884" s="14"/>
    </row>
    <row r="885">
      <c r="A885" s="13"/>
      <c r="F885" s="14"/>
    </row>
    <row r="886">
      <c r="A886" s="13"/>
      <c r="F886" s="14"/>
    </row>
    <row r="887">
      <c r="A887" s="13"/>
      <c r="F887" s="14"/>
    </row>
    <row r="888">
      <c r="A888" s="13"/>
      <c r="F888" s="14"/>
    </row>
    <row r="889">
      <c r="A889" s="13"/>
      <c r="F889" s="14"/>
    </row>
    <row r="890">
      <c r="A890" s="13"/>
      <c r="F890" s="14"/>
    </row>
    <row r="891">
      <c r="A891" s="13"/>
      <c r="F891" s="14"/>
    </row>
    <row r="892">
      <c r="A892" s="13"/>
      <c r="F892" s="14"/>
    </row>
    <row r="893">
      <c r="A893" s="13"/>
      <c r="F893" s="14"/>
    </row>
    <row r="894">
      <c r="A894" s="13"/>
      <c r="F894" s="14"/>
    </row>
    <row r="895">
      <c r="A895" s="13"/>
      <c r="F895" s="14"/>
    </row>
    <row r="896">
      <c r="A896" s="13"/>
      <c r="F896" s="14"/>
    </row>
    <row r="897">
      <c r="A897" s="13"/>
      <c r="F897" s="14"/>
    </row>
    <row r="898">
      <c r="A898" s="13"/>
      <c r="F898" s="14"/>
    </row>
    <row r="899">
      <c r="A899" s="13"/>
      <c r="F899" s="14"/>
    </row>
    <row r="900">
      <c r="A900" s="13"/>
      <c r="F900" s="14"/>
    </row>
    <row r="901">
      <c r="A901" s="13"/>
      <c r="F901" s="14"/>
    </row>
    <row r="902">
      <c r="A902" s="13"/>
      <c r="F902" s="14"/>
    </row>
    <row r="903">
      <c r="A903" s="13"/>
      <c r="F903" s="14"/>
    </row>
    <row r="904">
      <c r="A904" s="13"/>
      <c r="F904" s="14"/>
    </row>
    <row r="905">
      <c r="A905" s="13"/>
      <c r="F905" s="14"/>
    </row>
    <row r="906">
      <c r="A906" s="13"/>
      <c r="F906" s="14"/>
    </row>
    <row r="907">
      <c r="A907" s="13"/>
      <c r="F907" s="14"/>
    </row>
    <row r="908">
      <c r="A908" s="13"/>
      <c r="F908" s="14"/>
    </row>
    <row r="909">
      <c r="A909" s="13"/>
      <c r="F909" s="14"/>
    </row>
    <row r="910">
      <c r="A910" s="13"/>
      <c r="F910" s="14"/>
    </row>
    <row r="911">
      <c r="A911" s="13"/>
      <c r="F911" s="14"/>
    </row>
    <row r="912">
      <c r="A912" s="13"/>
      <c r="F912" s="14"/>
    </row>
    <row r="913">
      <c r="A913" s="13"/>
      <c r="F913" s="14"/>
    </row>
    <row r="914">
      <c r="A914" s="13"/>
      <c r="F914" s="14"/>
    </row>
    <row r="915">
      <c r="A915" s="13"/>
      <c r="F915" s="14"/>
    </row>
    <row r="916">
      <c r="A916" s="13"/>
      <c r="F916" s="14"/>
    </row>
    <row r="917">
      <c r="A917" s="13"/>
      <c r="F917" s="14"/>
    </row>
    <row r="918">
      <c r="A918" s="13"/>
      <c r="F918" s="14"/>
    </row>
    <row r="919">
      <c r="A919" s="13"/>
      <c r="F919" s="14"/>
    </row>
    <row r="920">
      <c r="A920" s="13"/>
      <c r="F920" s="14"/>
    </row>
    <row r="921">
      <c r="A921" s="13"/>
      <c r="F921" s="14"/>
    </row>
    <row r="922">
      <c r="A922" s="13"/>
      <c r="F922" s="14"/>
    </row>
    <row r="923">
      <c r="A923" s="13"/>
      <c r="F923" s="14"/>
    </row>
    <row r="924">
      <c r="A924" s="13"/>
      <c r="F924" s="14"/>
    </row>
    <row r="925">
      <c r="A925" s="13"/>
      <c r="F925" s="14"/>
    </row>
    <row r="926">
      <c r="A926" s="13"/>
      <c r="F926" s="14"/>
    </row>
    <row r="927">
      <c r="A927" s="13"/>
      <c r="F927" s="14"/>
    </row>
    <row r="928">
      <c r="A928" s="13"/>
      <c r="F928" s="14"/>
    </row>
    <row r="929">
      <c r="A929" s="13"/>
      <c r="F929" s="14"/>
    </row>
    <row r="930">
      <c r="A930" s="13"/>
      <c r="F930" s="14"/>
    </row>
    <row r="931">
      <c r="A931" s="13"/>
      <c r="F931" s="14"/>
    </row>
    <row r="932">
      <c r="A932" s="13"/>
      <c r="F932" s="14"/>
    </row>
    <row r="933">
      <c r="A933" s="13"/>
      <c r="F933" s="14"/>
    </row>
    <row r="934">
      <c r="A934" s="13"/>
      <c r="F934" s="14"/>
    </row>
    <row r="935">
      <c r="A935" s="13"/>
      <c r="F935" s="14"/>
    </row>
    <row r="936">
      <c r="A936" s="13"/>
      <c r="F936" s="14"/>
    </row>
    <row r="937">
      <c r="A937" s="13"/>
      <c r="F937" s="14"/>
    </row>
    <row r="938">
      <c r="A938" s="13"/>
      <c r="F938" s="14"/>
    </row>
    <row r="939">
      <c r="A939" s="13"/>
      <c r="F939" s="14"/>
    </row>
    <row r="940">
      <c r="A940" s="13"/>
      <c r="F940" s="14"/>
    </row>
    <row r="941">
      <c r="A941" s="13"/>
      <c r="F941" s="14"/>
    </row>
    <row r="942">
      <c r="A942" s="13"/>
      <c r="F942" s="14"/>
    </row>
    <row r="943">
      <c r="A943" s="13"/>
      <c r="F943" s="14"/>
    </row>
    <row r="944">
      <c r="A944" s="13"/>
      <c r="F944" s="14"/>
    </row>
    <row r="945">
      <c r="A945" s="13"/>
      <c r="F945" s="14"/>
    </row>
    <row r="946">
      <c r="A946" s="13"/>
      <c r="F946" s="14"/>
    </row>
    <row r="947">
      <c r="A947" s="13"/>
      <c r="F947" s="14"/>
    </row>
    <row r="948">
      <c r="A948" s="13"/>
      <c r="F948" s="14"/>
    </row>
    <row r="949">
      <c r="A949" s="13"/>
      <c r="F949" s="14"/>
    </row>
    <row r="950">
      <c r="A950" s="13"/>
      <c r="F950" s="14"/>
    </row>
    <row r="951">
      <c r="A951" s="13"/>
      <c r="F951" s="14"/>
    </row>
    <row r="952">
      <c r="A952" s="13"/>
      <c r="F952" s="14"/>
    </row>
    <row r="953">
      <c r="A953" s="13"/>
      <c r="F953" s="14"/>
    </row>
    <row r="954">
      <c r="A954" s="13"/>
      <c r="F954" s="14"/>
    </row>
    <row r="955">
      <c r="A955" s="13"/>
      <c r="F955" s="14"/>
    </row>
    <row r="956">
      <c r="A956" s="13"/>
      <c r="F956" s="14"/>
    </row>
    <row r="957">
      <c r="A957" s="13"/>
      <c r="F957" s="14"/>
    </row>
    <row r="958">
      <c r="A958" s="13"/>
      <c r="F958" s="14"/>
    </row>
    <row r="959">
      <c r="A959" s="13"/>
      <c r="F959" s="14"/>
    </row>
    <row r="960">
      <c r="A960" s="13"/>
      <c r="F960" s="14"/>
    </row>
    <row r="961">
      <c r="A961" s="13"/>
      <c r="F961" s="14"/>
    </row>
    <row r="962">
      <c r="A962" s="13"/>
      <c r="F962" s="14"/>
    </row>
    <row r="963">
      <c r="A963" s="13"/>
      <c r="F963" s="14"/>
    </row>
    <row r="964">
      <c r="A964" s="13"/>
      <c r="F964" s="14"/>
    </row>
    <row r="965">
      <c r="A965" s="13"/>
      <c r="F965" s="14"/>
    </row>
    <row r="966">
      <c r="A966" s="13"/>
      <c r="F966" s="14"/>
    </row>
    <row r="967">
      <c r="A967" s="13"/>
      <c r="F967" s="14"/>
    </row>
    <row r="968">
      <c r="A968" s="13"/>
      <c r="F968" s="14"/>
    </row>
    <row r="969">
      <c r="A969" s="13"/>
      <c r="F969" s="14"/>
    </row>
    <row r="970">
      <c r="A970" s="13"/>
      <c r="F970" s="14"/>
    </row>
    <row r="971">
      <c r="A971" s="13"/>
      <c r="F971" s="14"/>
    </row>
    <row r="972">
      <c r="A972" s="13"/>
      <c r="F972" s="14"/>
    </row>
    <row r="973">
      <c r="A973" s="13"/>
      <c r="F973" s="14"/>
    </row>
    <row r="974">
      <c r="A974" s="13"/>
      <c r="F974" s="14"/>
    </row>
    <row r="975">
      <c r="A975" s="13"/>
      <c r="F975" s="14"/>
    </row>
    <row r="976">
      <c r="A976" s="13"/>
      <c r="F976" s="14"/>
    </row>
    <row r="977">
      <c r="A977" s="13"/>
      <c r="F977" s="14"/>
    </row>
    <row r="978">
      <c r="A978" s="13"/>
      <c r="F978" s="14"/>
    </row>
    <row r="979">
      <c r="A979" s="13"/>
      <c r="F979" s="14"/>
    </row>
    <row r="980">
      <c r="A980" s="13"/>
      <c r="F980" s="14"/>
    </row>
    <row r="981">
      <c r="A981" s="13"/>
      <c r="F981" s="14"/>
    </row>
    <row r="982">
      <c r="A982" s="13"/>
      <c r="F982" s="14"/>
    </row>
    <row r="983">
      <c r="A983" s="13"/>
      <c r="F983" s="14"/>
    </row>
    <row r="984">
      <c r="A984" s="13"/>
      <c r="F984" s="14"/>
    </row>
    <row r="985">
      <c r="A985" s="13"/>
      <c r="F985" s="14"/>
    </row>
    <row r="986">
      <c r="A986" s="13"/>
      <c r="F986" s="14"/>
    </row>
    <row r="987">
      <c r="A987" s="13"/>
      <c r="F987" s="14"/>
    </row>
    <row r="988">
      <c r="A988" s="13"/>
      <c r="F988" s="14"/>
    </row>
    <row r="989">
      <c r="A989" s="13"/>
      <c r="F989" s="14"/>
    </row>
    <row r="990">
      <c r="A990" s="13"/>
      <c r="F990" s="14"/>
    </row>
    <row r="991">
      <c r="A991" s="13"/>
      <c r="F991" s="14"/>
    </row>
    <row r="992">
      <c r="A992" s="13"/>
      <c r="F992" s="14"/>
    </row>
    <row r="993">
      <c r="A993" s="13"/>
      <c r="F993" s="14"/>
    </row>
    <row r="994">
      <c r="A994" s="13"/>
      <c r="F994" s="14"/>
    </row>
    <row r="995">
      <c r="A995" s="13"/>
      <c r="F995" s="14"/>
    </row>
    <row r="996">
      <c r="A996" s="13"/>
      <c r="F996" s="14"/>
    </row>
    <row r="997">
      <c r="A997" s="13"/>
      <c r="F997" s="14"/>
    </row>
    <row r="998">
      <c r="A998" s="13"/>
      <c r="F998" s="14"/>
    </row>
    <row r="999">
      <c r="A999" s="13"/>
      <c r="F999" s="14"/>
    </row>
    <row r="1000">
      <c r="A1000" s="13"/>
      <c r="F1000" s="14"/>
    </row>
  </sheetData>
  <hyperlinks>
    <hyperlink r:id="rId1" ref="I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1"/>
    </row>
    <row r="2">
      <c r="A2" s="4">
        <v>46087.0</v>
      </c>
      <c r="B2" s="15">
        <v>63600.0</v>
      </c>
      <c r="C2" s="15">
        <v>70600.0</v>
      </c>
      <c r="D2" s="15">
        <v>63200.0</v>
      </c>
      <c r="E2" s="15">
        <v>69500.0</v>
      </c>
      <c r="F2" s="16">
        <v>69500.0</v>
      </c>
      <c r="G2" s="7">
        <v>407991.0</v>
      </c>
      <c r="H2" s="11"/>
    </row>
    <row r="3">
      <c r="A3" s="4">
        <v>46083.0</v>
      </c>
      <c r="B3" s="15">
        <v>72400.0</v>
      </c>
      <c r="C3" s="15">
        <v>72500.0</v>
      </c>
      <c r="D3" s="15">
        <v>62500.0</v>
      </c>
      <c r="E3" s="15">
        <v>64200.0</v>
      </c>
      <c r="F3" s="16">
        <v>64200.0</v>
      </c>
      <c r="G3" s="7">
        <v>1906258.0</v>
      </c>
      <c r="H3" s="11"/>
      <c r="K3" s="8" t="s">
        <v>7</v>
      </c>
    </row>
    <row r="4">
      <c r="A4" s="4">
        <v>46076.0</v>
      </c>
      <c r="B4" s="15">
        <v>74200.0</v>
      </c>
      <c r="C4" s="15">
        <v>77600.0</v>
      </c>
      <c r="D4" s="15">
        <v>70100.0</v>
      </c>
      <c r="E4" s="15">
        <v>74000.0</v>
      </c>
      <c r="F4" s="16">
        <v>74000.0</v>
      </c>
      <c r="G4" s="7">
        <v>1897968.0</v>
      </c>
      <c r="H4" s="11"/>
    </row>
    <row r="5">
      <c r="A5" s="4">
        <v>46069.0</v>
      </c>
      <c r="B5" s="15">
        <v>73900.0</v>
      </c>
      <c r="C5" s="15">
        <v>74700.0</v>
      </c>
      <c r="D5" s="15">
        <v>72900.0</v>
      </c>
      <c r="E5" s="15">
        <v>73300.0</v>
      </c>
      <c r="F5" s="16">
        <v>73300.0</v>
      </c>
      <c r="G5" s="7">
        <v>386015.0</v>
      </c>
      <c r="H5" s="11"/>
      <c r="K5" s="17" t="s">
        <v>9</v>
      </c>
    </row>
    <row r="6">
      <c r="A6" s="4">
        <v>46062.0</v>
      </c>
      <c r="B6" s="15">
        <v>71800.0</v>
      </c>
      <c r="C6" s="15">
        <v>79000.0</v>
      </c>
      <c r="D6" s="15">
        <v>71400.0</v>
      </c>
      <c r="E6" s="15">
        <v>72900.0</v>
      </c>
      <c r="F6" s="16">
        <v>72900.0</v>
      </c>
      <c r="G6" s="7">
        <v>1589042.0</v>
      </c>
      <c r="H6" s="11"/>
    </row>
    <row r="7">
      <c r="A7" s="4">
        <v>46055.0</v>
      </c>
      <c r="B7" s="15">
        <v>72500.0</v>
      </c>
      <c r="C7" s="15">
        <v>73900.0</v>
      </c>
      <c r="D7" s="15">
        <v>66700.0</v>
      </c>
      <c r="E7" s="15">
        <v>70100.0</v>
      </c>
      <c r="F7" s="16">
        <v>70100.0</v>
      </c>
      <c r="G7" s="7">
        <v>1162853.0</v>
      </c>
      <c r="H7" s="11"/>
    </row>
    <row r="8">
      <c r="A8" s="4">
        <v>46048.0</v>
      </c>
      <c r="B8" s="15">
        <v>70700.0</v>
      </c>
      <c r="C8" s="15">
        <v>77600.0</v>
      </c>
      <c r="D8" s="15">
        <v>69800.0</v>
      </c>
      <c r="E8" s="15">
        <v>74700.0</v>
      </c>
      <c r="F8" s="16">
        <v>74700.0</v>
      </c>
      <c r="G8" s="7">
        <v>2486055.0</v>
      </c>
      <c r="H8" s="11"/>
    </row>
    <row r="9">
      <c r="A9" s="4">
        <v>46041.0</v>
      </c>
      <c r="B9" s="15">
        <v>69500.0</v>
      </c>
      <c r="C9" s="15">
        <v>71500.0</v>
      </c>
      <c r="D9" s="15">
        <v>66300.0</v>
      </c>
      <c r="E9" s="15">
        <v>70700.0</v>
      </c>
      <c r="F9" s="16">
        <v>70700.0</v>
      </c>
      <c r="G9" s="7">
        <v>1235504.0</v>
      </c>
      <c r="H9" s="11"/>
    </row>
    <row r="10">
      <c r="A10" s="4">
        <v>46034.0</v>
      </c>
      <c r="B10" s="15">
        <v>67400.0</v>
      </c>
      <c r="C10" s="15">
        <v>70900.0</v>
      </c>
      <c r="D10" s="15">
        <v>65800.0</v>
      </c>
      <c r="E10" s="15">
        <v>68800.0</v>
      </c>
      <c r="F10" s="16">
        <v>68800.0</v>
      </c>
      <c r="G10" s="7">
        <v>1232107.0</v>
      </c>
      <c r="H10" s="11"/>
    </row>
    <row r="11">
      <c r="A11" s="4">
        <v>46027.0</v>
      </c>
      <c r="B11" s="15">
        <v>71900.0</v>
      </c>
      <c r="C11" s="15">
        <v>72000.0</v>
      </c>
      <c r="D11" s="15">
        <v>62400.0</v>
      </c>
      <c r="E11" s="15">
        <v>67200.0</v>
      </c>
      <c r="F11" s="16">
        <v>67200.0</v>
      </c>
      <c r="G11" s="7">
        <v>2136505.0</v>
      </c>
      <c r="H11" s="11"/>
    </row>
    <row r="12">
      <c r="A12" s="4">
        <v>46020.0</v>
      </c>
      <c r="B12" s="15">
        <v>64000.0</v>
      </c>
      <c r="C12" s="15">
        <v>72400.0</v>
      </c>
      <c r="D12" s="15">
        <v>63600.0</v>
      </c>
      <c r="E12" s="15">
        <v>70400.0</v>
      </c>
      <c r="F12" s="16">
        <v>70400.0</v>
      </c>
      <c r="G12" s="7">
        <v>1343007.0</v>
      </c>
      <c r="H12" s="11"/>
    </row>
    <row r="13">
      <c r="A13" s="4">
        <v>46013.0</v>
      </c>
      <c r="B13" s="15">
        <v>63900.0</v>
      </c>
      <c r="C13" s="15">
        <v>66600.0</v>
      </c>
      <c r="D13" s="15">
        <v>62800.0</v>
      </c>
      <c r="E13" s="15">
        <v>64500.0</v>
      </c>
      <c r="F13" s="16">
        <v>64500.0</v>
      </c>
      <c r="G13" s="7">
        <v>793283.0</v>
      </c>
      <c r="H13" s="11"/>
    </row>
    <row r="14">
      <c r="A14" s="4">
        <v>46006.0</v>
      </c>
      <c r="B14" s="15">
        <v>62700.0</v>
      </c>
      <c r="C14" s="15">
        <v>65150.0</v>
      </c>
      <c r="D14" s="15">
        <v>61500.0</v>
      </c>
      <c r="E14" s="15">
        <v>63300.0</v>
      </c>
      <c r="F14" s="16">
        <v>63300.0</v>
      </c>
      <c r="G14" s="7">
        <v>1142428.0</v>
      </c>
      <c r="H14" s="11"/>
    </row>
    <row r="15">
      <c r="A15" s="4">
        <v>45999.0</v>
      </c>
      <c r="B15" s="15">
        <v>61900.0</v>
      </c>
      <c r="C15" s="15">
        <v>63600.0</v>
      </c>
      <c r="D15" s="15">
        <v>61100.0</v>
      </c>
      <c r="E15" s="15">
        <v>63600.0</v>
      </c>
      <c r="F15" s="16">
        <v>63600.0</v>
      </c>
      <c r="G15" s="7">
        <v>637107.0</v>
      </c>
      <c r="H15" s="11"/>
    </row>
    <row r="16">
      <c r="A16" s="4">
        <v>45992.0</v>
      </c>
      <c r="B16" s="15">
        <v>65500.0</v>
      </c>
      <c r="C16" s="15">
        <v>65800.0</v>
      </c>
      <c r="D16" s="15">
        <v>61300.0</v>
      </c>
      <c r="E16" s="15">
        <v>62100.0</v>
      </c>
      <c r="F16" s="16">
        <v>62100.0</v>
      </c>
      <c r="G16" s="7">
        <v>665465.0</v>
      </c>
      <c r="H16" s="11"/>
    </row>
    <row r="17">
      <c r="A17" s="4">
        <v>45985.0</v>
      </c>
      <c r="B17" s="15">
        <v>61000.0</v>
      </c>
      <c r="C17" s="15">
        <v>65600.0</v>
      </c>
      <c r="D17" s="15">
        <v>58400.0</v>
      </c>
      <c r="E17" s="15">
        <v>64900.0</v>
      </c>
      <c r="F17" s="16">
        <v>64900.0</v>
      </c>
      <c r="G17" s="7">
        <v>1050414.0</v>
      </c>
      <c r="H17" s="11"/>
    </row>
    <row r="18">
      <c r="A18" s="4">
        <v>45978.0</v>
      </c>
      <c r="B18" s="15">
        <v>62400.0</v>
      </c>
      <c r="C18" s="15">
        <v>64400.0</v>
      </c>
      <c r="D18" s="15">
        <v>60100.0</v>
      </c>
      <c r="E18" s="15">
        <v>60700.0</v>
      </c>
      <c r="F18" s="16">
        <v>60700.0</v>
      </c>
      <c r="G18" s="7">
        <v>795154.0</v>
      </c>
      <c r="H18" s="11"/>
    </row>
    <row r="19">
      <c r="A19" s="4">
        <v>45971.0</v>
      </c>
      <c r="B19" s="15">
        <v>70600.0</v>
      </c>
      <c r="C19" s="15">
        <v>71400.0</v>
      </c>
      <c r="D19" s="15">
        <v>61900.0</v>
      </c>
      <c r="E19" s="15">
        <v>62100.0</v>
      </c>
      <c r="F19" s="16">
        <v>62100.0</v>
      </c>
      <c r="G19" s="7">
        <v>2446082.0</v>
      </c>
      <c r="H19" s="11"/>
    </row>
    <row r="20">
      <c r="A20" s="4">
        <v>45964.0</v>
      </c>
      <c r="B20" s="15">
        <v>95100.0</v>
      </c>
      <c r="C20" s="15">
        <v>95300.0</v>
      </c>
      <c r="D20" s="15">
        <v>70400.0</v>
      </c>
      <c r="E20" s="15">
        <v>72000.0</v>
      </c>
      <c r="F20" s="16">
        <v>72000.0</v>
      </c>
      <c r="G20" s="7">
        <v>2428862.0</v>
      </c>
      <c r="H20" s="11"/>
    </row>
    <row r="21">
      <c r="A21" s="4">
        <v>45957.0</v>
      </c>
      <c r="B21" s="15">
        <v>90500.0</v>
      </c>
      <c r="C21" s="15">
        <v>96500.0</v>
      </c>
      <c r="D21" s="15">
        <v>90200.0</v>
      </c>
      <c r="E21" s="15">
        <v>91500.0</v>
      </c>
      <c r="F21" s="16">
        <v>91500.0</v>
      </c>
      <c r="G21" s="7">
        <v>1294302.0</v>
      </c>
      <c r="H21" s="11"/>
    </row>
    <row r="22">
      <c r="A22" s="4">
        <v>45950.0</v>
      </c>
      <c r="B22" s="15">
        <v>90800.0</v>
      </c>
      <c r="C22" s="15">
        <v>93700.0</v>
      </c>
      <c r="D22" s="15">
        <v>89500.0</v>
      </c>
      <c r="E22" s="15">
        <v>90500.0</v>
      </c>
      <c r="F22" s="16">
        <v>90500.0</v>
      </c>
      <c r="G22" s="7">
        <v>765811.0</v>
      </c>
      <c r="H22" s="11"/>
    </row>
    <row r="23">
      <c r="A23" s="4">
        <v>45943.0</v>
      </c>
      <c r="B23" s="15">
        <v>99000.0</v>
      </c>
      <c r="C23" s="15">
        <v>105900.0</v>
      </c>
      <c r="D23" s="15">
        <v>89700.0</v>
      </c>
      <c r="E23" s="15">
        <v>90000.0</v>
      </c>
      <c r="F23" s="16">
        <v>90000.0</v>
      </c>
      <c r="G23" s="7">
        <v>1667467.0</v>
      </c>
      <c r="H23" s="11"/>
    </row>
    <row r="24">
      <c r="A24" s="4">
        <v>45936.0</v>
      </c>
      <c r="B24" s="15">
        <v>99000.0</v>
      </c>
      <c r="C24" s="15">
        <v>99900.0</v>
      </c>
      <c r="D24" s="15">
        <v>96000.0</v>
      </c>
      <c r="E24" s="15">
        <v>99600.0</v>
      </c>
      <c r="F24" s="16">
        <v>99600.0</v>
      </c>
      <c r="G24" s="7">
        <v>147499.0</v>
      </c>
      <c r="H24" s="11"/>
    </row>
    <row r="25">
      <c r="A25" s="4">
        <v>45929.0</v>
      </c>
      <c r="B25" s="15">
        <v>100100.0</v>
      </c>
      <c r="C25" s="15">
        <v>101300.0</v>
      </c>
      <c r="D25" s="15">
        <v>95100.0</v>
      </c>
      <c r="E25" s="15">
        <v>97800.0</v>
      </c>
      <c r="F25" s="16">
        <v>97800.0</v>
      </c>
      <c r="G25" s="7">
        <v>773091.0</v>
      </c>
      <c r="H25" s="11"/>
    </row>
    <row r="26">
      <c r="A26" s="4">
        <v>45922.0</v>
      </c>
      <c r="B26" s="15">
        <v>98600.0</v>
      </c>
      <c r="C26" s="15">
        <v>103000.0</v>
      </c>
      <c r="D26" s="15">
        <v>94400.0</v>
      </c>
      <c r="E26" s="15">
        <v>100700.0</v>
      </c>
      <c r="F26" s="16">
        <v>100700.0</v>
      </c>
      <c r="G26" s="7">
        <v>1083720.0</v>
      </c>
      <c r="H26" s="11"/>
    </row>
    <row r="27">
      <c r="A27" s="4">
        <v>45915.0</v>
      </c>
      <c r="B27" s="15">
        <v>97300.0</v>
      </c>
      <c r="C27" s="15">
        <v>101500.0</v>
      </c>
      <c r="D27" s="15">
        <v>96400.0</v>
      </c>
      <c r="E27" s="15">
        <v>98900.0</v>
      </c>
      <c r="F27" s="16">
        <v>98900.0</v>
      </c>
      <c r="G27" s="7">
        <v>761084.0</v>
      </c>
      <c r="H27" s="11"/>
    </row>
    <row r="28">
      <c r="A28" s="4">
        <v>45908.0</v>
      </c>
      <c r="B28" s="15">
        <v>100700.0</v>
      </c>
      <c r="C28" s="15">
        <v>101900.0</v>
      </c>
      <c r="D28" s="15">
        <v>97000.0</v>
      </c>
      <c r="E28" s="15">
        <v>98200.0</v>
      </c>
      <c r="F28" s="16">
        <v>98200.0</v>
      </c>
      <c r="G28" s="7">
        <v>849305.0</v>
      </c>
      <c r="H28" s="11"/>
    </row>
    <row r="29">
      <c r="A29" s="4">
        <v>45901.0</v>
      </c>
      <c r="B29" s="15">
        <v>102800.0</v>
      </c>
      <c r="C29" s="15">
        <v>104500.0</v>
      </c>
      <c r="D29" s="15">
        <v>97500.0</v>
      </c>
      <c r="E29" s="15">
        <v>99500.0</v>
      </c>
      <c r="F29" s="16">
        <v>99500.0</v>
      </c>
      <c r="G29" s="7">
        <v>670054.0</v>
      </c>
      <c r="H29" s="11"/>
    </row>
    <row r="30">
      <c r="A30" s="4">
        <v>45894.0</v>
      </c>
      <c r="B30" s="15">
        <v>102700.0</v>
      </c>
      <c r="C30" s="15">
        <v>109300.0</v>
      </c>
      <c r="D30" s="15">
        <v>98700.0</v>
      </c>
      <c r="E30" s="15">
        <v>101600.0</v>
      </c>
      <c r="F30" s="16">
        <v>101600.0</v>
      </c>
      <c r="G30" s="7">
        <v>1022540.0</v>
      </c>
      <c r="H30" s="11"/>
    </row>
    <row r="31">
      <c r="A31" s="4">
        <v>45887.0</v>
      </c>
      <c r="B31" s="15">
        <v>98700.0</v>
      </c>
      <c r="C31" s="15">
        <v>109800.0</v>
      </c>
      <c r="D31" s="15">
        <v>96700.0</v>
      </c>
      <c r="E31" s="15">
        <v>102000.0</v>
      </c>
      <c r="F31" s="16">
        <v>102000.0</v>
      </c>
      <c r="G31" s="7">
        <v>1565974.0</v>
      </c>
      <c r="H31" s="11"/>
    </row>
    <row r="32">
      <c r="A32" s="4">
        <v>45880.0</v>
      </c>
      <c r="B32" s="15">
        <v>94500.0</v>
      </c>
      <c r="C32" s="15">
        <v>104900.0</v>
      </c>
      <c r="D32" s="15">
        <v>92800.0</v>
      </c>
      <c r="E32" s="15">
        <v>99100.0</v>
      </c>
      <c r="F32" s="16">
        <v>99100.0</v>
      </c>
      <c r="G32" s="7">
        <v>1848169.0</v>
      </c>
      <c r="H32" s="11"/>
    </row>
    <row r="33">
      <c r="A33" s="4">
        <v>45873.0</v>
      </c>
      <c r="B33" s="15">
        <v>79600.0</v>
      </c>
      <c r="C33" s="15">
        <v>95700.0</v>
      </c>
      <c r="D33" s="15">
        <v>79000.0</v>
      </c>
      <c r="E33" s="15">
        <v>93200.0</v>
      </c>
      <c r="F33" s="16">
        <v>93200.0</v>
      </c>
      <c r="G33" s="7">
        <v>1530201.0</v>
      </c>
      <c r="H33" s="11"/>
    </row>
    <row r="34">
      <c r="A34" s="4">
        <v>45866.0</v>
      </c>
      <c r="B34" s="15">
        <v>82900.0</v>
      </c>
      <c r="C34" s="15">
        <v>86200.0</v>
      </c>
      <c r="D34" s="15">
        <v>79000.0</v>
      </c>
      <c r="E34" s="15">
        <v>79400.0</v>
      </c>
      <c r="F34" s="16">
        <v>79400.0</v>
      </c>
      <c r="G34" s="7">
        <v>1114416.0</v>
      </c>
      <c r="H34" s="11"/>
    </row>
    <row r="35">
      <c r="A35" s="4">
        <v>45859.0</v>
      </c>
      <c r="B35" s="15">
        <v>86000.0</v>
      </c>
      <c r="C35" s="15">
        <v>91800.0</v>
      </c>
      <c r="D35" s="15">
        <v>82300.0</v>
      </c>
      <c r="E35" s="15">
        <v>83100.0</v>
      </c>
      <c r="F35" s="16">
        <v>83100.0</v>
      </c>
      <c r="G35" s="7">
        <v>1283996.0</v>
      </c>
      <c r="H35" s="11"/>
    </row>
    <row r="36">
      <c r="A36" s="4">
        <v>45852.0</v>
      </c>
      <c r="B36" s="15">
        <v>89200.0</v>
      </c>
      <c r="C36" s="15">
        <v>90300.0</v>
      </c>
      <c r="D36" s="15">
        <v>83000.0</v>
      </c>
      <c r="E36" s="15">
        <v>84900.0</v>
      </c>
      <c r="F36" s="16">
        <v>84900.0</v>
      </c>
      <c r="G36" s="7">
        <v>824842.0</v>
      </c>
      <c r="H36" s="11"/>
    </row>
    <row r="37">
      <c r="A37" s="4">
        <v>45845.0</v>
      </c>
      <c r="B37" s="15">
        <v>86400.0</v>
      </c>
      <c r="C37" s="15">
        <v>89300.0</v>
      </c>
      <c r="D37" s="15">
        <v>81700.0</v>
      </c>
      <c r="E37" s="15">
        <v>86500.0</v>
      </c>
      <c r="F37" s="16">
        <v>86500.0</v>
      </c>
      <c r="G37" s="7">
        <v>1192350.0</v>
      </c>
      <c r="H37" s="11"/>
    </row>
    <row r="38">
      <c r="A38" s="4">
        <v>45838.0</v>
      </c>
      <c r="B38" s="15">
        <v>92500.0</v>
      </c>
      <c r="C38" s="15">
        <v>96900.0</v>
      </c>
      <c r="D38" s="15">
        <v>84100.0</v>
      </c>
      <c r="E38" s="15">
        <v>84800.0</v>
      </c>
      <c r="F38" s="16">
        <v>84800.0</v>
      </c>
      <c r="G38" s="7">
        <v>1212939.0</v>
      </c>
      <c r="H38" s="11"/>
    </row>
    <row r="39">
      <c r="A39" s="4">
        <v>45831.0</v>
      </c>
      <c r="B39" s="15">
        <v>93400.0</v>
      </c>
      <c r="C39" s="15">
        <v>95300.0</v>
      </c>
      <c r="D39" s="15">
        <v>89400.0</v>
      </c>
      <c r="E39" s="15">
        <v>92200.0</v>
      </c>
      <c r="F39" s="16">
        <v>92200.0</v>
      </c>
      <c r="G39" s="7">
        <v>838480.0</v>
      </c>
      <c r="H39" s="11"/>
    </row>
    <row r="40">
      <c r="A40" s="4">
        <v>45824.0</v>
      </c>
      <c r="B40" s="15">
        <v>85000.0</v>
      </c>
      <c r="C40" s="15">
        <v>94200.0</v>
      </c>
      <c r="D40" s="15">
        <v>85000.0</v>
      </c>
      <c r="E40" s="15">
        <v>93700.0</v>
      </c>
      <c r="F40" s="16">
        <v>93700.0</v>
      </c>
      <c r="G40" s="7">
        <v>1238910.0</v>
      </c>
      <c r="H40" s="11"/>
    </row>
    <row r="41">
      <c r="A41" s="4">
        <v>45817.0</v>
      </c>
      <c r="B41" s="15">
        <v>87800.0</v>
      </c>
      <c r="C41" s="15">
        <v>91200.0</v>
      </c>
      <c r="D41" s="15">
        <v>84500.0</v>
      </c>
      <c r="E41" s="15">
        <v>85500.0</v>
      </c>
      <c r="F41" s="16">
        <v>85500.0</v>
      </c>
      <c r="G41" s="7">
        <v>1201517.0</v>
      </c>
      <c r="H41" s="11"/>
    </row>
    <row r="42">
      <c r="A42" s="4">
        <v>45810.0</v>
      </c>
      <c r="B42" s="15">
        <v>83000.0</v>
      </c>
      <c r="C42" s="15">
        <v>88000.0</v>
      </c>
      <c r="D42" s="15">
        <v>81700.0</v>
      </c>
      <c r="E42" s="15">
        <v>87400.0</v>
      </c>
      <c r="F42" s="16">
        <v>87400.0</v>
      </c>
      <c r="G42" s="7">
        <v>754371.0</v>
      </c>
      <c r="H42" s="11"/>
    </row>
    <row r="43">
      <c r="A43" s="4">
        <v>45803.0</v>
      </c>
      <c r="B43" s="15">
        <v>80000.0</v>
      </c>
      <c r="C43" s="15">
        <v>85300.0</v>
      </c>
      <c r="D43" s="15">
        <v>77900.0</v>
      </c>
      <c r="E43" s="15">
        <v>81000.0</v>
      </c>
      <c r="F43" s="16">
        <v>81000.0</v>
      </c>
      <c r="G43" s="7">
        <v>1298965.0</v>
      </c>
      <c r="H43" s="11"/>
    </row>
    <row r="44">
      <c r="A44" s="4">
        <v>45796.0</v>
      </c>
      <c r="B44" s="15">
        <v>74300.0</v>
      </c>
      <c r="C44" s="15">
        <v>79100.0</v>
      </c>
      <c r="D44" s="15">
        <v>72000.0</v>
      </c>
      <c r="E44" s="15">
        <v>78900.0</v>
      </c>
      <c r="F44" s="16">
        <v>78900.0</v>
      </c>
      <c r="G44" s="7">
        <v>853540.0</v>
      </c>
      <c r="H44" s="11"/>
    </row>
    <row r="45">
      <c r="A45" s="4">
        <v>45789.0</v>
      </c>
      <c r="B45" s="15">
        <v>73500.0</v>
      </c>
      <c r="C45" s="15">
        <v>77200.0</v>
      </c>
      <c r="D45" s="15">
        <v>70300.0</v>
      </c>
      <c r="E45" s="15">
        <v>74500.0</v>
      </c>
      <c r="F45" s="16">
        <v>74500.0</v>
      </c>
      <c r="G45" s="7">
        <v>1215076.0</v>
      </c>
      <c r="H45" s="11"/>
    </row>
    <row r="46">
      <c r="A46" s="4">
        <v>45782.0</v>
      </c>
      <c r="B46" s="15">
        <v>67500.0</v>
      </c>
      <c r="C46" s="15">
        <v>78000.0</v>
      </c>
      <c r="D46" s="15">
        <v>66500.0</v>
      </c>
      <c r="E46" s="15">
        <v>74400.0</v>
      </c>
      <c r="F46" s="16">
        <v>74400.0</v>
      </c>
      <c r="G46" s="7">
        <v>1558373.0</v>
      </c>
      <c r="H46" s="11"/>
    </row>
    <row r="47">
      <c r="A47" s="4">
        <v>45775.0</v>
      </c>
      <c r="B47" s="15">
        <v>63700.0</v>
      </c>
      <c r="C47" s="15">
        <v>68900.0</v>
      </c>
      <c r="D47" s="15">
        <v>62400.0</v>
      </c>
      <c r="E47" s="15">
        <v>67700.0</v>
      </c>
      <c r="F47" s="16">
        <v>67700.0</v>
      </c>
      <c r="G47" s="7">
        <v>797849.0</v>
      </c>
      <c r="H47" s="11"/>
    </row>
    <row r="48">
      <c r="A48" s="4">
        <v>45768.0</v>
      </c>
      <c r="B48" s="15">
        <v>66200.0</v>
      </c>
      <c r="C48" s="15">
        <v>67000.0</v>
      </c>
      <c r="D48" s="15">
        <v>61500.0</v>
      </c>
      <c r="E48" s="15">
        <v>63500.0</v>
      </c>
      <c r="F48" s="16">
        <v>63500.0</v>
      </c>
      <c r="G48" s="7">
        <v>734315.0</v>
      </c>
      <c r="H48" s="11"/>
    </row>
    <row r="49">
      <c r="A49" s="4">
        <v>45761.0</v>
      </c>
      <c r="B49" s="15">
        <v>60600.0</v>
      </c>
      <c r="C49" s="15">
        <v>67200.0</v>
      </c>
      <c r="D49" s="15">
        <v>59600.0</v>
      </c>
      <c r="E49" s="15">
        <v>66800.0</v>
      </c>
      <c r="F49" s="16">
        <v>66800.0</v>
      </c>
      <c r="G49" s="7">
        <v>902677.0</v>
      </c>
      <c r="H49" s="11"/>
    </row>
    <row r="50">
      <c r="A50" s="4">
        <v>45754.0</v>
      </c>
      <c r="B50" s="15">
        <v>62000.0</v>
      </c>
      <c r="C50" s="15">
        <v>62400.0</v>
      </c>
      <c r="D50" s="15">
        <v>56000.0</v>
      </c>
      <c r="E50" s="15">
        <v>60700.0</v>
      </c>
      <c r="F50" s="16">
        <v>60700.0</v>
      </c>
      <c r="G50" s="7">
        <v>1179012.0</v>
      </c>
      <c r="H50" s="11"/>
    </row>
    <row r="51">
      <c r="A51" s="4">
        <v>45747.0</v>
      </c>
      <c r="B51" s="15">
        <v>61100.0</v>
      </c>
      <c r="C51" s="15">
        <v>64200.0</v>
      </c>
      <c r="D51" s="15">
        <v>60300.0</v>
      </c>
      <c r="E51" s="15">
        <v>63300.0</v>
      </c>
      <c r="F51" s="16">
        <v>63300.0</v>
      </c>
      <c r="G51" s="7">
        <v>965840.0</v>
      </c>
      <c r="H51" s="11"/>
    </row>
    <row r="52">
      <c r="A52" s="4">
        <v>45740.0</v>
      </c>
      <c r="B52" s="15">
        <v>62700.0</v>
      </c>
      <c r="C52" s="15">
        <v>67700.0</v>
      </c>
      <c r="D52" s="15">
        <v>62000.0</v>
      </c>
      <c r="E52" s="15">
        <v>63500.0</v>
      </c>
      <c r="F52" s="16">
        <v>63500.0</v>
      </c>
      <c r="G52" s="7">
        <v>1097941.0</v>
      </c>
      <c r="H52" s="11"/>
    </row>
    <row r="53">
      <c r="A53" s="4">
        <v>45733.0</v>
      </c>
      <c r="B53" s="15">
        <v>61100.0</v>
      </c>
      <c r="C53" s="15">
        <v>64100.0</v>
      </c>
      <c r="D53" s="15">
        <v>59700.0</v>
      </c>
      <c r="E53" s="15">
        <v>61500.0</v>
      </c>
      <c r="F53" s="16">
        <v>61500.0</v>
      </c>
      <c r="G53" s="7">
        <v>912510.0</v>
      </c>
      <c r="H53" s="11"/>
    </row>
    <row r="54">
      <c r="A54" s="4">
        <v>45726.0</v>
      </c>
      <c r="B54" s="15">
        <v>62500.0</v>
      </c>
      <c r="C54" s="15">
        <v>63800.0</v>
      </c>
      <c r="D54" s="15">
        <v>59700.0</v>
      </c>
      <c r="E54" s="15">
        <v>61300.0</v>
      </c>
      <c r="F54" s="16">
        <v>61300.0</v>
      </c>
      <c r="G54" s="7">
        <v>1058259.0</v>
      </c>
      <c r="H54" s="11"/>
    </row>
    <row r="55">
      <c r="A55" s="4">
        <v>45719.0</v>
      </c>
      <c r="B55" s="15">
        <v>64500.0</v>
      </c>
      <c r="C55" s="15">
        <v>64500.0</v>
      </c>
      <c r="D55" s="15">
        <v>61400.0</v>
      </c>
      <c r="E55" s="15">
        <v>62500.0</v>
      </c>
      <c r="F55" s="16">
        <v>62500.0</v>
      </c>
      <c r="G55" s="7">
        <v>403022.0</v>
      </c>
      <c r="H55" s="11"/>
    </row>
    <row r="56">
      <c r="A56" s="10"/>
      <c r="B56" s="11"/>
      <c r="C56" s="11"/>
      <c r="D56" s="11"/>
      <c r="E56" s="11"/>
      <c r="F56" s="12"/>
      <c r="G56" s="11"/>
      <c r="H56" s="11"/>
    </row>
    <row r="57">
      <c r="A57" s="13"/>
      <c r="F57" s="14"/>
    </row>
    <row r="58">
      <c r="A58" s="13"/>
      <c r="F58" s="14"/>
    </row>
    <row r="59">
      <c r="A59" s="13"/>
      <c r="F59" s="14"/>
    </row>
    <row r="60">
      <c r="A60" s="13"/>
      <c r="F60" s="14"/>
    </row>
    <row r="61">
      <c r="A61" s="13"/>
      <c r="F61" s="14"/>
    </row>
    <row r="62">
      <c r="A62" s="13"/>
      <c r="F62" s="14"/>
    </row>
    <row r="63">
      <c r="A63" s="13"/>
      <c r="F63" s="14"/>
    </row>
    <row r="64">
      <c r="A64" s="13"/>
      <c r="F64" s="14"/>
    </row>
    <row r="65">
      <c r="A65" s="13"/>
      <c r="F65" s="14"/>
    </row>
    <row r="66">
      <c r="A66" s="13"/>
      <c r="F66" s="14"/>
    </row>
    <row r="67">
      <c r="A67" s="13"/>
      <c r="F67" s="14"/>
    </row>
    <row r="68">
      <c r="A68" s="13"/>
      <c r="F68" s="14"/>
    </row>
    <row r="69">
      <c r="A69" s="13"/>
      <c r="F69" s="14"/>
    </row>
    <row r="70">
      <c r="A70" s="13"/>
      <c r="F70" s="14"/>
    </row>
    <row r="71">
      <c r="A71" s="13"/>
      <c r="F71" s="14"/>
    </row>
    <row r="72">
      <c r="A72" s="13"/>
      <c r="F72" s="14"/>
    </row>
    <row r="73">
      <c r="A73" s="13"/>
      <c r="F73" s="14"/>
    </row>
    <row r="74">
      <c r="A74" s="13"/>
      <c r="F74" s="14"/>
    </row>
    <row r="75">
      <c r="A75" s="13"/>
      <c r="F75" s="14"/>
    </row>
    <row r="76">
      <c r="A76" s="13"/>
      <c r="F76" s="14"/>
    </row>
    <row r="77">
      <c r="A77" s="13"/>
      <c r="F77" s="14"/>
    </row>
    <row r="78">
      <c r="A78" s="13"/>
      <c r="F78" s="14"/>
    </row>
    <row r="79">
      <c r="A79" s="13"/>
      <c r="F79" s="14"/>
    </row>
    <row r="80">
      <c r="A80" s="13"/>
      <c r="F80" s="14"/>
    </row>
    <row r="81">
      <c r="A81" s="13"/>
      <c r="F81" s="14"/>
    </row>
    <row r="82">
      <c r="A82" s="13"/>
      <c r="F82" s="14"/>
    </row>
    <row r="83">
      <c r="A83" s="13"/>
      <c r="F83" s="14"/>
    </row>
    <row r="84">
      <c r="A84" s="13"/>
      <c r="F84" s="14"/>
    </row>
    <row r="85">
      <c r="A85" s="13"/>
      <c r="F85" s="14"/>
    </row>
    <row r="86">
      <c r="A86" s="13"/>
      <c r="F86" s="14"/>
    </row>
    <row r="87">
      <c r="A87" s="13"/>
      <c r="F87" s="14"/>
    </row>
    <row r="88">
      <c r="A88" s="13"/>
      <c r="F88" s="14"/>
    </row>
    <row r="89">
      <c r="A89" s="13"/>
      <c r="F89" s="14"/>
    </row>
    <row r="90">
      <c r="A90" s="13"/>
      <c r="F90" s="14"/>
    </row>
    <row r="91">
      <c r="A91" s="13"/>
      <c r="F91" s="14"/>
    </row>
    <row r="92">
      <c r="A92" s="13"/>
      <c r="F92" s="14"/>
    </row>
    <row r="93">
      <c r="A93" s="13"/>
      <c r="F93" s="14"/>
    </row>
    <row r="94">
      <c r="A94" s="13"/>
      <c r="F94" s="14"/>
    </row>
    <row r="95">
      <c r="A95" s="13"/>
      <c r="F95" s="14"/>
    </row>
    <row r="96">
      <c r="A96" s="13"/>
      <c r="F96" s="14"/>
    </row>
    <row r="97">
      <c r="A97" s="13"/>
      <c r="F97" s="14"/>
    </row>
    <row r="98">
      <c r="A98" s="13"/>
      <c r="F98" s="14"/>
    </row>
    <row r="99">
      <c r="A99" s="13"/>
      <c r="F99" s="14"/>
    </row>
    <row r="100">
      <c r="A100" s="13"/>
      <c r="F100" s="14"/>
    </row>
    <row r="101">
      <c r="A101" s="13"/>
      <c r="F101" s="14"/>
    </row>
    <row r="102">
      <c r="A102" s="13"/>
      <c r="F102" s="14"/>
    </row>
    <row r="103">
      <c r="A103" s="13"/>
      <c r="F103" s="14"/>
    </row>
    <row r="104">
      <c r="A104" s="13"/>
      <c r="F104" s="14"/>
    </row>
    <row r="105">
      <c r="A105" s="13"/>
      <c r="F105" s="14"/>
    </row>
    <row r="106">
      <c r="A106" s="13"/>
      <c r="F106" s="14"/>
    </row>
    <row r="107">
      <c r="A107" s="13"/>
      <c r="F107" s="14"/>
    </row>
    <row r="108">
      <c r="A108" s="13"/>
      <c r="F108" s="14"/>
    </row>
    <row r="109">
      <c r="A109" s="13"/>
      <c r="F109" s="14"/>
    </row>
    <row r="110">
      <c r="A110" s="13"/>
      <c r="F110" s="14"/>
    </row>
    <row r="111">
      <c r="A111" s="13"/>
      <c r="F111" s="14"/>
    </row>
    <row r="112">
      <c r="A112" s="13"/>
      <c r="F112" s="14"/>
    </row>
    <row r="113">
      <c r="A113" s="13"/>
      <c r="F113" s="14"/>
    </row>
    <row r="114">
      <c r="A114" s="13"/>
      <c r="F114" s="14"/>
    </row>
    <row r="115">
      <c r="A115" s="13"/>
      <c r="F115" s="14"/>
    </row>
    <row r="116">
      <c r="A116" s="13"/>
      <c r="F116" s="14"/>
    </row>
    <row r="117">
      <c r="A117" s="13"/>
      <c r="F117" s="14"/>
    </row>
    <row r="118">
      <c r="A118" s="13"/>
      <c r="F118" s="14"/>
    </row>
    <row r="119">
      <c r="A119" s="13"/>
      <c r="F119" s="14"/>
    </row>
    <row r="120">
      <c r="A120" s="13"/>
      <c r="F120" s="14"/>
    </row>
    <row r="121">
      <c r="A121" s="13"/>
      <c r="F121" s="14"/>
    </row>
    <row r="122">
      <c r="A122" s="13"/>
      <c r="F122" s="14"/>
    </row>
    <row r="123">
      <c r="A123" s="13"/>
      <c r="F123" s="14"/>
    </row>
    <row r="124">
      <c r="A124" s="13"/>
      <c r="F124" s="14"/>
    </row>
    <row r="125">
      <c r="A125" s="13"/>
      <c r="F125" s="14"/>
    </row>
    <row r="126">
      <c r="A126" s="13"/>
      <c r="F126" s="14"/>
    </row>
    <row r="127">
      <c r="A127" s="13"/>
      <c r="F127" s="14"/>
    </row>
    <row r="128">
      <c r="A128" s="13"/>
      <c r="F128" s="14"/>
    </row>
    <row r="129">
      <c r="A129" s="13"/>
      <c r="F129" s="14"/>
    </row>
    <row r="130">
      <c r="A130" s="13"/>
      <c r="F130" s="14"/>
    </row>
    <row r="131">
      <c r="A131" s="13"/>
      <c r="F131" s="14"/>
    </row>
    <row r="132">
      <c r="A132" s="13"/>
      <c r="F132" s="14"/>
    </row>
    <row r="133">
      <c r="A133" s="13"/>
      <c r="F133" s="14"/>
    </row>
    <row r="134">
      <c r="A134" s="13"/>
      <c r="F134" s="14"/>
    </row>
    <row r="135">
      <c r="A135" s="13"/>
      <c r="F135" s="14"/>
    </row>
    <row r="136">
      <c r="A136" s="13"/>
      <c r="F136" s="14"/>
    </row>
    <row r="137">
      <c r="A137" s="13"/>
      <c r="F137" s="14"/>
    </row>
    <row r="138">
      <c r="A138" s="13"/>
      <c r="F138" s="14"/>
    </row>
    <row r="139">
      <c r="A139" s="13"/>
      <c r="F139" s="14"/>
    </row>
    <row r="140">
      <c r="A140" s="13"/>
      <c r="F140" s="14"/>
    </row>
    <row r="141">
      <c r="A141" s="13"/>
      <c r="F141" s="14"/>
    </row>
    <row r="142">
      <c r="A142" s="13"/>
      <c r="F142" s="14"/>
    </row>
    <row r="143">
      <c r="A143" s="13"/>
      <c r="F143" s="14"/>
    </row>
    <row r="144">
      <c r="A144" s="13"/>
      <c r="F144" s="14"/>
    </row>
    <row r="145">
      <c r="A145" s="13"/>
      <c r="F145" s="14"/>
    </row>
    <row r="146">
      <c r="A146" s="13"/>
      <c r="F146" s="14"/>
    </row>
    <row r="147">
      <c r="A147" s="13"/>
      <c r="F147" s="14"/>
    </row>
    <row r="148">
      <c r="A148" s="13"/>
      <c r="F148" s="14"/>
    </row>
    <row r="149">
      <c r="A149" s="13"/>
      <c r="F149" s="14"/>
    </row>
    <row r="150">
      <c r="A150" s="13"/>
      <c r="F150" s="14"/>
    </row>
    <row r="151">
      <c r="A151" s="13"/>
      <c r="F151" s="14"/>
    </row>
    <row r="152">
      <c r="A152" s="13"/>
      <c r="F152" s="14"/>
    </row>
    <row r="153">
      <c r="A153" s="13"/>
      <c r="F153" s="14"/>
    </row>
    <row r="154">
      <c r="A154" s="13"/>
      <c r="F154" s="14"/>
    </row>
    <row r="155">
      <c r="A155" s="13"/>
      <c r="F155" s="14"/>
    </row>
    <row r="156">
      <c r="A156" s="13"/>
      <c r="F156" s="14"/>
    </row>
    <row r="157">
      <c r="A157" s="13"/>
      <c r="F157" s="14"/>
    </row>
    <row r="158">
      <c r="A158" s="13"/>
      <c r="F158" s="14"/>
    </row>
    <row r="159">
      <c r="A159" s="13"/>
      <c r="F159" s="14"/>
    </row>
    <row r="160">
      <c r="A160" s="13"/>
      <c r="F160" s="14"/>
    </row>
    <row r="161">
      <c r="A161" s="13"/>
      <c r="F161" s="14"/>
    </row>
    <row r="162">
      <c r="A162" s="13"/>
      <c r="F162" s="14"/>
    </row>
    <row r="163">
      <c r="A163" s="13"/>
      <c r="F163" s="14"/>
    </row>
    <row r="164">
      <c r="A164" s="13"/>
      <c r="F164" s="14"/>
    </row>
    <row r="165">
      <c r="A165" s="13"/>
      <c r="F165" s="14"/>
    </row>
    <row r="166">
      <c r="A166" s="13"/>
      <c r="F166" s="14"/>
    </row>
    <row r="167">
      <c r="A167" s="13"/>
      <c r="F167" s="14"/>
    </row>
    <row r="168">
      <c r="A168" s="13"/>
      <c r="F168" s="14"/>
    </row>
    <row r="169">
      <c r="A169" s="13"/>
      <c r="F169" s="14"/>
    </row>
    <row r="170">
      <c r="A170" s="13"/>
      <c r="F170" s="14"/>
    </row>
    <row r="171">
      <c r="A171" s="13"/>
      <c r="F171" s="14"/>
    </row>
    <row r="172">
      <c r="A172" s="13"/>
      <c r="F172" s="14"/>
    </row>
    <row r="173">
      <c r="A173" s="13"/>
      <c r="F173" s="14"/>
    </row>
    <row r="174">
      <c r="A174" s="13"/>
      <c r="F174" s="14"/>
    </row>
    <row r="175">
      <c r="A175" s="13"/>
      <c r="F175" s="14"/>
    </row>
    <row r="176">
      <c r="A176" s="13"/>
      <c r="F176" s="14"/>
    </row>
    <row r="177">
      <c r="A177" s="13"/>
      <c r="F177" s="14"/>
    </row>
    <row r="178">
      <c r="A178" s="13"/>
      <c r="F178" s="14"/>
    </row>
    <row r="179">
      <c r="A179" s="13"/>
      <c r="F179" s="14"/>
    </row>
    <row r="180">
      <c r="A180" s="13"/>
      <c r="F180" s="14"/>
    </row>
    <row r="181">
      <c r="A181" s="13"/>
      <c r="F181" s="14"/>
    </row>
    <row r="182">
      <c r="A182" s="13"/>
      <c r="F182" s="14"/>
    </row>
    <row r="183">
      <c r="A183" s="13"/>
      <c r="F183" s="14"/>
    </row>
    <row r="184">
      <c r="A184" s="13"/>
      <c r="F184" s="14"/>
    </row>
    <row r="185">
      <c r="A185" s="13"/>
      <c r="F185" s="14"/>
    </row>
    <row r="186">
      <c r="A186" s="13"/>
      <c r="F186" s="14"/>
    </row>
    <row r="187">
      <c r="A187" s="13"/>
      <c r="F187" s="14"/>
    </row>
    <row r="188">
      <c r="A188" s="13"/>
      <c r="F188" s="14"/>
    </row>
    <row r="189">
      <c r="A189" s="13"/>
      <c r="F189" s="14"/>
    </row>
    <row r="190">
      <c r="A190" s="13"/>
      <c r="F190" s="14"/>
    </row>
    <row r="191">
      <c r="A191" s="13"/>
      <c r="F191" s="14"/>
    </row>
    <row r="192">
      <c r="A192" s="13"/>
      <c r="F192" s="14"/>
    </row>
    <row r="193">
      <c r="A193" s="13"/>
      <c r="F193" s="14"/>
    </row>
    <row r="194">
      <c r="A194" s="13"/>
      <c r="F194" s="14"/>
    </row>
    <row r="195">
      <c r="A195" s="13"/>
      <c r="F195" s="14"/>
    </row>
    <row r="196">
      <c r="A196" s="13"/>
      <c r="F196" s="14"/>
    </row>
    <row r="197">
      <c r="A197" s="13"/>
      <c r="F197" s="14"/>
    </row>
    <row r="198">
      <c r="A198" s="13"/>
      <c r="F198" s="14"/>
    </row>
    <row r="199">
      <c r="A199" s="13"/>
      <c r="F199" s="14"/>
    </row>
    <row r="200">
      <c r="A200" s="13"/>
      <c r="F200" s="14"/>
    </row>
    <row r="201">
      <c r="A201" s="13"/>
      <c r="F201" s="14"/>
    </row>
    <row r="202">
      <c r="A202" s="13"/>
      <c r="F202" s="14"/>
    </row>
    <row r="203">
      <c r="A203" s="13"/>
      <c r="F203" s="14"/>
    </row>
    <row r="204">
      <c r="A204" s="13"/>
      <c r="F204" s="14"/>
    </row>
    <row r="205">
      <c r="A205" s="13"/>
      <c r="F205" s="14"/>
    </row>
    <row r="206">
      <c r="A206" s="13"/>
      <c r="F206" s="14"/>
    </row>
    <row r="207">
      <c r="A207" s="13"/>
      <c r="F207" s="14"/>
    </row>
    <row r="208">
      <c r="A208" s="13"/>
      <c r="F208" s="14"/>
    </row>
    <row r="209">
      <c r="A209" s="13"/>
      <c r="F209" s="14"/>
    </row>
    <row r="210">
      <c r="A210" s="13"/>
      <c r="F210" s="14"/>
    </row>
    <row r="211">
      <c r="A211" s="13"/>
      <c r="F211" s="14"/>
    </row>
    <row r="212">
      <c r="A212" s="13"/>
      <c r="F212" s="14"/>
    </row>
    <row r="213">
      <c r="A213" s="13"/>
      <c r="F213" s="14"/>
    </row>
    <row r="214">
      <c r="A214" s="13"/>
      <c r="F214" s="14"/>
    </row>
    <row r="215">
      <c r="A215" s="13"/>
      <c r="F215" s="14"/>
    </row>
    <row r="216">
      <c r="A216" s="13"/>
      <c r="F216" s="14"/>
    </row>
    <row r="217">
      <c r="A217" s="13"/>
      <c r="F217" s="14"/>
    </row>
    <row r="218">
      <c r="A218" s="13"/>
      <c r="F218" s="14"/>
    </row>
    <row r="219">
      <c r="A219" s="13"/>
      <c r="F219" s="14"/>
    </row>
    <row r="220">
      <c r="A220" s="13"/>
      <c r="F220" s="14"/>
    </row>
    <row r="221">
      <c r="A221" s="13"/>
      <c r="F221" s="14"/>
    </row>
    <row r="222">
      <c r="A222" s="13"/>
      <c r="F222" s="14"/>
    </row>
    <row r="223">
      <c r="A223" s="13"/>
      <c r="F223" s="14"/>
    </row>
    <row r="224">
      <c r="A224" s="13"/>
      <c r="F224" s="14"/>
    </row>
    <row r="225">
      <c r="A225" s="13"/>
      <c r="F225" s="14"/>
    </row>
    <row r="226">
      <c r="A226" s="13"/>
      <c r="F226" s="14"/>
    </row>
    <row r="227">
      <c r="A227" s="13"/>
      <c r="F227" s="14"/>
    </row>
    <row r="228">
      <c r="A228" s="13"/>
      <c r="F228" s="14"/>
    </row>
    <row r="229">
      <c r="A229" s="13"/>
      <c r="F229" s="14"/>
    </row>
    <row r="230">
      <c r="A230" s="13"/>
      <c r="F230" s="14"/>
    </row>
    <row r="231">
      <c r="A231" s="13"/>
      <c r="F231" s="14"/>
    </row>
    <row r="232">
      <c r="A232" s="13"/>
      <c r="F232" s="14"/>
    </row>
    <row r="233">
      <c r="A233" s="13"/>
      <c r="F233" s="14"/>
    </row>
    <row r="234">
      <c r="A234" s="13"/>
      <c r="F234" s="14"/>
    </row>
    <row r="235">
      <c r="A235" s="13"/>
      <c r="F235" s="14"/>
    </row>
    <row r="236">
      <c r="A236" s="13"/>
      <c r="F236" s="14"/>
    </row>
    <row r="237">
      <c r="A237" s="13"/>
      <c r="F237" s="14"/>
    </row>
    <row r="238">
      <c r="A238" s="13"/>
      <c r="F238" s="14"/>
    </row>
    <row r="239">
      <c r="A239" s="13"/>
      <c r="F239" s="14"/>
    </row>
    <row r="240">
      <c r="A240" s="13"/>
      <c r="F240" s="14"/>
    </row>
    <row r="241">
      <c r="A241" s="13"/>
      <c r="F241" s="14"/>
    </row>
    <row r="242">
      <c r="A242" s="13"/>
      <c r="F242" s="14"/>
    </row>
    <row r="243">
      <c r="A243" s="13"/>
      <c r="F243" s="14"/>
    </row>
    <row r="244">
      <c r="A244" s="13"/>
      <c r="F244" s="14"/>
    </row>
    <row r="245">
      <c r="A245" s="13"/>
      <c r="F245" s="14"/>
    </row>
    <row r="246">
      <c r="A246" s="13"/>
      <c r="F246" s="14"/>
    </row>
    <row r="247">
      <c r="A247" s="13"/>
      <c r="F247" s="14"/>
    </row>
    <row r="248">
      <c r="A248" s="13"/>
      <c r="F248" s="14"/>
    </row>
    <row r="249">
      <c r="A249" s="13"/>
      <c r="F249" s="14"/>
    </row>
    <row r="250">
      <c r="A250" s="13"/>
      <c r="F250" s="14"/>
    </row>
    <row r="251">
      <c r="A251" s="13"/>
      <c r="F251" s="14"/>
    </row>
    <row r="252">
      <c r="A252" s="13"/>
      <c r="F252" s="14"/>
    </row>
    <row r="253">
      <c r="A253" s="13"/>
      <c r="F253" s="14"/>
    </row>
    <row r="254">
      <c r="A254" s="13"/>
      <c r="F254" s="14"/>
    </row>
    <row r="255">
      <c r="A255" s="13"/>
      <c r="F255" s="14"/>
    </row>
    <row r="256">
      <c r="A256" s="13"/>
      <c r="F256" s="14"/>
    </row>
    <row r="257">
      <c r="A257" s="13"/>
      <c r="F257" s="14"/>
    </row>
    <row r="258">
      <c r="A258" s="13"/>
      <c r="F258" s="14"/>
    </row>
    <row r="259">
      <c r="A259" s="13"/>
      <c r="F259" s="14"/>
    </row>
    <row r="260">
      <c r="A260" s="13"/>
      <c r="F260" s="14"/>
    </row>
    <row r="261">
      <c r="A261" s="13"/>
      <c r="F261" s="14"/>
    </row>
    <row r="262">
      <c r="A262" s="13"/>
      <c r="F262" s="14"/>
    </row>
    <row r="263">
      <c r="A263" s="13"/>
      <c r="F263" s="14"/>
    </row>
    <row r="264">
      <c r="A264" s="13"/>
      <c r="F264" s="14"/>
    </row>
    <row r="265">
      <c r="A265" s="13"/>
      <c r="F265" s="14"/>
    </row>
    <row r="266">
      <c r="A266" s="13"/>
      <c r="F266" s="14"/>
    </row>
    <row r="267">
      <c r="A267" s="13"/>
      <c r="F267" s="14"/>
    </row>
    <row r="268">
      <c r="A268" s="13"/>
      <c r="F268" s="14"/>
    </row>
    <row r="269">
      <c r="A269" s="13"/>
      <c r="F269" s="14"/>
    </row>
    <row r="270">
      <c r="A270" s="13"/>
      <c r="F270" s="14"/>
    </row>
    <row r="271">
      <c r="A271" s="13"/>
      <c r="F271" s="14"/>
    </row>
    <row r="272">
      <c r="A272" s="13"/>
      <c r="F272" s="14"/>
    </row>
    <row r="273">
      <c r="A273" s="13"/>
      <c r="F273" s="14"/>
    </row>
    <row r="274">
      <c r="A274" s="13"/>
      <c r="F274" s="14"/>
    </row>
    <row r="275">
      <c r="A275" s="13"/>
      <c r="F275" s="14"/>
    </row>
    <row r="276">
      <c r="A276" s="13"/>
      <c r="F276" s="14"/>
    </row>
    <row r="277">
      <c r="A277" s="13"/>
      <c r="F277" s="14"/>
    </row>
    <row r="278">
      <c r="A278" s="13"/>
      <c r="F278" s="14"/>
    </row>
    <row r="279">
      <c r="A279" s="13"/>
      <c r="F279" s="14"/>
    </row>
    <row r="280">
      <c r="A280" s="13"/>
      <c r="F280" s="14"/>
    </row>
    <row r="281">
      <c r="A281" s="13"/>
      <c r="F281" s="14"/>
    </row>
    <row r="282">
      <c r="A282" s="13"/>
      <c r="F282" s="14"/>
    </row>
    <row r="283">
      <c r="A283" s="13"/>
      <c r="F283" s="14"/>
    </row>
    <row r="284">
      <c r="A284" s="13"/>
      <c r="F284" s="14"/>
    </row>
    <row r="285">
      <c r="A285" s="13"/>
      <c r="F285" s="14"/>
    </row>
    <row r="286">
      <c r="A286" s="13"/>
      <c r="F286" s="14"/>
    </row>
    <row r="287">
      <c r="A287" s="13"/>
      <c r="F287" s="14"/>
    </row>
    <row r="288">
      <c r="A288" s="13"/>
      <c r="F288" s="14"/>
    </row>
    <row r="289">
      <c r="A289" s="13"/>
      <c r="F289" s="14"/>
    </row>
    <row r="290">
      <c r="A290" s="13"/>
      <c r="F290" s="14"/>
    </row>
    <row r="291">
      <c r="A291" s="13"/>
      <c r="F291" s="14"/>
    </row>
    <row r="292">
      <c r="A292" s="13"/>
      <c r="F292" s="14"/>
    </row>
    <row r="293">
      <c r="A293" s="13"/>
      <c r="F293" s="14"/>
    </row>
    <row r="294">
      <c r="A294" s="13"/>
      <c r="F294" s="14"/>
    </row>
    <row r="295">
      <c r="A295" s="13"/>
      <c r="F295" s="14"/>
    </row>
    <row r="296">
      <c r="A296" s="13"/>
      <c r="F296" s="14"/>
    </row>
    <row r="297">
      <c r="A297" s="13"/>
      <c r="F297" s="14"/>
    </row>
    <row r="298">
      <c r="A298" s="13"/>
      <c r="F298" s="14"/>
    </row>
    <row r="299">
      <c r="A299" s="13"/>
      <c r="F299" s="14"/>
    </row>
    <row r="300">
      <c r="A300" s="13"/>
      <c r="F300" s="14"/>
    </row>
    <row r="301">
      <c r="A301" s="13"/>
      <c r="F301" s="14"/>
    </row>
    <row r="302">
      <c r="A302" s="13"/>
      <c r="F302" s="14"/>
    </row>
    <row r="303">
      <c r="A303" s="13"/>
      <c r="F303" s="14"/>
    </row>
    <row r="304">
      <c r="A304" s="13"/>
      <c r="F304" s="14"/>
    </row>
    <row r="305">
      <c r="A305" s="13"/>
      <c r="F305" s="14"/>
    </row>
    <row r="306">
      <c r="A306" s="13"/>
      <c r="F306" s="14"/>
    </row>
    <row r="307">
      <c r="A307" s="13"/>
      <c r="F307" s="14"/>
    </row>
    <row r="308">
      <c r="A308" s="13"/>
      <c r="F308" s="14"/>
    </row>
    <row r="309">
      <c r="A309" s="13"/>
      <c r="F309" s="14"/>
    </row>
    <row r="310">
      <c r="A310" s="13"/>
      <c r="F310" s="14"/>
    </row>
    <row r="311">
      <c r="A311" s="13"/>
      <c r="F311" s="14"/>
    </row>
    <row r="312">
      <c r="A312" s="13"/>
      <c r="F312" s="14"/>
    </row>
    <row r="313">
      <c r="A313" s="13"/>
      <c r="F313" s="14"/>
    </row>
    <row r="314">
      <c r="A314" s="13"/>
      <c r="F314" s="14"/>
    </row>
    <row r="315">
      <c r="A315" s="13"/>
      <c r="F315" s="14"/>
    </row>
    <row r="316">
      <c r="A316" s="13"/>
      <c r="F316" s="14"/>
    </row>
    <row r="317">
      <c r="A317" s="13"/>
      <c r="F317" s="14"/>
    </row>
    <row r="318">
      <c r="A318" s="13"/>
      <c r="F318" s="14"/>
    </row>
    <row r="319">
      <c r="A319" s="13"/>
      <c r="F319" s="14"/>
    </row>
    <row r="320">
      <c r="A320" s="13"/>
      <c r="F320" s="14"/>
    </row>
    <row r="321">
      <c r="A321" s="13"/>
      <c r="F321" s="14"/>
    </row>
    <row r="322">
      <c r="A322" s="13"/>
      <c r="F322" s="14"/>
    </row>
    <row r="323">
      <c r="A323" s="13"/>
      <c r="F323" s="14"/>
    </row>
    <row r="324">
      <c r="A324" s="13"/>
      <c r="F324" s="14"/>
    </row>
    <row r="325">
      <c r="A325" s="13"/>
      <c r="F325" s="14"/>
    </row>
    <row r="326">
      <c r="A326" s="13"/>
      <c r="F326" s="14"/>
    </row>
    <row r="327">
      <c r="A327" s="13"/>
      <c r="F327" s="14"/>
    </row>
    <row r="328">
      <c r="A328" s="13"/>
      <c r="F328" s="14"/>
    </row>
    <row r="329">
      <c r="A329" s="13"/>
      <c r="F329" s="14"/>
    </row>
    <row r="330">
      <c r="A330" s="13"/>
      <c r="F330" s="14"/>
    </row>
    <row r="331">
      <c r="A331" s="13"/>
      <c r="F331" s="14"/>
    </row>
    <row r="332">
      <c r="A332" s="13"/>
      <c r="F332" s="14"/>
    </row>
    <row r="333">
      <c r="A333" s="13"/>
      <c r="F333" s="14"/>
    </row>
    <row r="334">
      <c r="A334" s="13"/>
      <c r="F334" s="14"/>
    </row>
    <row r="335">
      <c r="A335" s="13"/>
      <c r="F335" s="14"/>
    </row>
    <row r="336">
      <c r="A336" s="13"/>
      <c r="F336" s="14"/>
    </row>
    <row r="337">
      <c r="A337" s="13"/>
      <c r="F337" s="14"/>
    </row>
    <row r="338">
      <c r="A338" s="13"/>
      <c r="F338" s="14"/>
    </row>
    <row r="339">
      <c r="A339" s="13"/>
      <c r="F339" s="14"/>
    </row>
    <row r="340">
      <c r="A340" s="13"/>
      <c r="F340" s="14"/>
    </row>
    <row r="341">
      <c r="A341" s="13"/>
      <c r="F341" s="14"/>
    </row>
    <row r="342">
      <c r="A342" s="13"/>
      <c r="F342" s="14"/>
    </row>
    <row r="343">
      <c r="A343" s="13"/>
      <c r="F343" s="14"/>
    </row>
    <row r="344">
      <c r="A344" s="13"/>
      <c r="F344" s="14"/>
    </row>
    <row r="345">
      <c r="A345" s="13"/>
      <c r="F345" s="14"/>
    </row>
    <row r="346">
      <c r="A346" s="13"/>
      <c r="F346" s="14"/>
    </row>
    <row r="347">
      <c r="A347" s="13"/>
      <c r="F347" s="14"/>
    </row>
    <row r="348">
      <c r="A348" s="13"/>
      <c r="F348" s="14"/>
    </row>
    <row r="349">
      <c r="A349" s="13"/>
      <c r="F349" s="14"/>
    </row>
    <row r="350">
      <c r="A350" s="13"/>
      <c r="F350" s="14"/>
    </row>
    <row r="351">
      <c r="A351" s="13"/>
      <c r="F351" s="14"/>
    </row>
    <row r="352">
      <c r="A352" s="13"/>
      <c r="F352" s="14"/>
    </row>
    <row r="353">
      <c r="A353" s="13"/>
      <c r="F353" s="14"/>
    </row>
    <row r="354">
      <c r="A354" s="13"/>
      <c r="F354" s="14"/>
    </row>
    <row r="355">
      <c r="A355" s="13"/>
      <c r="F355" s="14"/>
    </row>
    <row r="356">
      <c r="A356" s="13"/>
      <c r="F356" s="14"/>
    </row>
    <row r="357">
      <c r="A357" s="13"/>
      <c r="F357" s="14"/>
    </row>
    <row r="358">
      <c r="A358" s="13"/>
      <c r="F358" s="14"/>
    </row>
    <row r="359">
      <c r="A359" s="13"/>
      <c r="F359" s="14"/>
    </row>
    <row r="360">
      <c r="A360" s="13"/>
      <c r="F360" s="14"/>
    </row>
    <row r="361">
      <c r="A361" s="13"/>
      <c r="F361" s="14"/>
    </row>
    <row r="362">
      <c r="A362" s="13"/>
      <c r="F362" s="14"/>
    </row>
    <row r="363">
      <c r="A363" s="13"/>
      <c r="F363" s="14"/>
    </row>
    <row r="364">
      <c r="A364" s="13"/>
      <c r="F364" s="14"/>
    </row>
    <row r="365">
      <c r="A365" s="13"/>
      <c r="F365" s="14"/>
    </row>
    <row r="366">
      <c r="A366" s="13"/>
      <c r="F366" s="14"/>
    </row>
    <row r="367">
      <c r="A367" s="13"/>
      <c r="F367" s="14"/>
    </row>
    <row r="368">
      <c r="A368" s="13"/>
      <c r="F368" s="14"/>
    </row>
    <row r="369">
      <c r="A369" s="13"/>
      <c r="F369" s="14"/>
    </row>
    <row r="370">
      <c r="A370" s="13"/>
      <c r="F370" s="14"/>
    </row>
    <row r="371">
      <c r="A371" s="13"/>
      <c r="F371" s="14"/>
    </row>
    <row r="372">
      <c r="A372" s="13"/>
      <c r="F372" s="14"/>
    </row>
    <row r="373">
      <c r="A373" s="13"/>
      <c r="F373" s="14"/>
    </row>
    <row r="374">
      <c r="A374" s="13"/>
      <c r="F374" s="14"/>
    </row>
    <row r="375">
      <c r="A375" s="13"/>
      <c r="F375" s="14"/>
    </row>
    <row r="376">
      <c r="A376" s="13"/>
      <c r="F376" s="14"/>
    </row>
    <row r="377">
      <c r="A377" s="13"/>
      <c r="F377" s="14"/>
    </row>
    <row r="378">
      <c r="A378" s="13"/>
      <c r="F378" s="14"/>
    </row>
    <row r="379">
      <c r="A379" s="13"/>
      <c r="F379" s="14"/>
    </row>
    <row r="380">
      <c r="A380" s="13"/>
      <c r="F380" s="14"/>
    </row>
    <row r="381">
      <c r="A381" s="13"/>
      <c r="F381" s="14"/>
    </row>
    <row r="382">
      <c r="A382" s="13"/>
      <c r="F382" s="14"/>
    </row>
    <row r="383">
      <c r="A383" s="13"/>
      <c r="F383" s="14"/>
    </row>
    <row r="384">
      <c r="A384" s="13"/>
      <c r="F384" s="14"/>
    </row>
    <row r="385">
      <c r="A385" s="13"/>
      <c r="F385" s="14"/>
    </row>
    <row r="386">
      <c r="A386" s="13"/>
      <c r="F386" s="14"/>
    </row>
    <row r="387">
      <c r="A387" s="13"/>
      <c r="F387" s="14"/>
    </row>
    <row r="388">
      <c r="A388" s="13"/>
      <c r="F388" s="14"/>
    </row>
    <row r="389">
      <c r="A389" s="13"/>
      <c r="F389" s="14"/>
    </row>
    <row r="390">
      <c r="A390" s="13"/>
      <c r="F390" s="14"/>
    </row>
    <row r="391">
      <c r="A391" s="13"/>
      <c r="F391" s="14"/>
    </row>
    <row r="392">
      <c r="A392" s="13"/>
      <c r="F392" s="14"/>
    </row>
    <row r="393">
      <c r="A393" s="13"/>
      <c r="F393" s="14"/>
    </row>
    <row r="394">
      <c r="A394" s="13"/>
      <c r="F394" s="14"/>
    </row>
    <row r="395">
      <c r="A395" s="13"/>
      <c r="F395" s="14"/>
    </row>
    <row r="396">
      <c r="A396" s="13"/>
      <c r="F396" s="14"/>
    </row>
    <row r="397">
      <c r="A397" s="13"/>
      <c r="F397" s="14"/>
    </row>
    <row r="398">
      <c r="A398" s="13"/>
      <c r="F398" s="14"/>
    </row>
    <row r="399">
      <c r="A399" s="13"/>
      <c r="F399" s="14"/>
    </row>
    <row r="400">
      <c r="A400" s="13"/>
      <c r="F400" s="14"/>
    </row>
    <row r="401">
      <c r="A401" s="13"/>
      <c r="F401" s="14"/>
    </row>
    <row r="402">
      <c r="A402" s="13"/>
      <c r="F402" s="14"/>
    </row>
    <row r="403">
      <c r="A403" s="13"/>
      <c r="F403" s="14"/>
    </row>
    <row r="404">
      <c r="A404" s="13"/>
      <c r="F404" s="14"/>
    </row>
    <row r="405">
      <c r="A405" s="13"/>
      <c r="F405" s="14"/>
    </row>
    <row r="406">
      <c r="A406" s="13"/>
      <c r="F406" s="14"/>
    </row>
    <row r="407">
      <c r="A407" s="13"/>
      <c r="F407" s="14"/>
    </row>
    <row r="408">
      <c r="A408" s="13"/>
      <c r="F408" s="14"/>
    </row>
    <row r="409">
      <c r="A409" s="13"/>
      <c r="F409" s="14"/>
    </row>
    <row r="410">
      <c r="A410" s="13"/>
      <c r="F410" s="14"/>
    </row>
    <row r="411">
      <c r="A411" s="13"/>
      <c r="F411" s="14"/>
    </row>
    <row r="412">
      <c r="A412" s="13"/>
      <c r="F412" s="14"/>
    </row>
    <row r="413">
      <c r="A413" s="13"/>
      <c r="F413" s="14"/>
    </row>
    <row r="414">
      <c r="A414" s="13"/>
      <c r="F414" s="14"/>
    </row>
    <row r="415">
      <c r="A415" s="13"/>
      <c r="F415" s="14"/>
    </row>
    <row r="416">
      <c r="A416" s="13"/>
      <c r="F416" s="14"/>
    </row>
    <row r="417">
      <c r="A417" s="13"/>
      <c r="F417" s="14"/>
    </row>
    <row r="418">
      <c r="A418" s="13"/>
      <c r="F418" s="14"/>
    </row>
    <row r="419">
      <c r="A419" s="13"/>
      <c r="F419" s="14"/>
    </row>
    <row r="420">
      <c r="A420" s="13"/>
      <c r="F420" s="14"/>
    </row>
    <row r="421">
      <c r="A421" s="13"/>
      <c r="F421" s="14"/>
    </row>
    <row r="422">
      <c r="A422" s="13"/>
      <c r="F422" s="14"/>
    </row>
    <row r="423">
      <c r="A423" s="13"/>
      <c r="F423" s="14"/>
    </row>
    <row r="424">
      <c r="A424" s="13"/>
      <c r="F424" s="14"/>
    </row>
    <row r="425">
      <c r="A425" s="13"/>
      <c r="F425" s="14"/>
    </row>
    <row r="426">
      <c r="A426" s="13"/>
      <c r="F426" s="14"/>
    </row>
    <row r="427">
      <c r="A427" s="13"/>
      <c r="F427" s="14"/>
    </row>
    <row r="428">
      <c r="A428" s="13"/>
      <c r="F428" s="14"/>
    </row>
    <row r="429">
      <c r="A429" s="13"/>
      <c r="F429" s="14"/>
    </row>
    <row r="430">
      <c r="A430" s="13"/>
      <c r="F430" s="14"/>
    </row>
    <row r="431">
      <c r="A431" s="13"/>
      <c r="F431" s="14"/>
    </row>
    <row r="432">
      <c r="A432" s="13"/>
      <c r="F432" s="14"/>
    </row>
    <row r="433">
      <c r="A433" s="13"/>
      <c r="F433" s="14"/>
    </row>
    <row r="434">
      <c r="A434" s="13"/>
      <c r="F434" s="14"/>
    </row>
    <row r="435">
      <c r="A435" s="13"/>
      <c r="F435" s="14"/>
    </row>
    <row r="436">
      <c r="A436" s="13"/>
      <c r="F436" s="14"/>
    </row>
    <row r="437">
      <c r="A437" s="13"/>
      <c r="F437" s="14"/>
    </row>
    <row r="438">
      <c r="A438" s="13"/>
      <c r="F438" s="14"/>
    </row>
    <row r="439">
      <c r="A439" s="13"/>
      <c r="F439" s="14"/>
    </row>
    <row r="440">
      <c r="A440" s="13"/>
      <c r="F440" s="14"/>
    </row>
    <row r="441">
      <c r="A441" s="13"/>
      <c r="F441" s="14"/>
    </row>
    <row r="442">
      <c r="A442" s="13"/>
      <c r="F442" s="14"/>
    </row>
    <row r="443">
      <c r="A443" s="13"/>
      <c r="F443" s="14"/>
    </row>
    <row r="444">
      <c r="A444" s="13"/>
      <c r="F444" s="14"/>
    </row>
    <row r="445">
      <c r="A445" s="13"/>
      <c r="F445" s="14"/>
    </row>
    <row r="446">
      <c r="A446" s="13"/>
      <c r="F446" s="14"/>
    </row>
    <row r="447">
      <c r="A447" s="13"/>
      <c r="F447" s="14"/>
    </row>
    <row r="448">
      <c r="A448" s="13"/>
      <c r="F448" s="14"/>
    </row>
    <row r="449">
      <c r="A449" s="13"/>
      <c r="F449" s="14"/>
    </row>
    <row r="450">
      <c r="A450" s="13"/>
      <c r="F450" s="14"/>
    </row>
    <row r="451">
      <c r="A451" s="13"/>
      <c r="F451" s="14"/>
    </row>
    <row r="452">
      <c r="A452" s="13"/>
      <c r="F452" s="14"/>
    </row>
    <row r="453">
      <c r="A453" s="13"/>
      <c r="F453" s="14"/>
    </row>
    <row r="454">
      <c r="A454" s="13"/>
      <c r="F454" s="14"/>
    </row>
    <row r="455">
      <c r="A455" s="13"/>
      <c r="F455" s="14"/>
    </row>
    <row r="456">
      <c r="A456" s="13"/>
      <c r="F456" s="14"/>
    </row>
    <row r="457">
      <c r="A457" s="13"/>
      <c r="F457" s="14"/>
    </row>
    <row r="458">
      <c r="A458" s="13"/>
      <c r="F458" s="14"/>
    </row>
    <row r="459">
      <c r="A459" s="13"/>
      <c r="F459" s="14"/>
    </row>
    <row r="460">
      <c r="A460" s="13"/>
      <c r="F460" s="14"/>
    </row>
    <row r="461">
      <c r="A461" s="13"/>
      <c r="F461" s="14"/>
    </row>
    <row r="462">
      <c r="A462" s="13"/>
      <c r="F462" s="14"/>
    </row>
    <row r="463">
      <c r="A463" s="13"/>
      <c r="F463" s="14"/>
    </row>
    <row r="464">
      <c r="A464" s="13"/>
      <c r="F464" s="14"/>
    </row>
    <row r="465">
      <c r="A465" s="13"/>
      <c r="F465" s="14"/>
    </row>
    <row r="466">
      <c r="A466" s="13"/>
      <c r="F466" s="14"/>
    </row>
    <row r="467">
      <c r="A467" s="13"/>
      <c r="F467" s="14"/>
    </row>
    <row r="468">
      <c r="A468" s="13"/>
      <c r="F468" s="14"/>
    </row>
    <row r="469">
      <c r="A469" s="13"/>
      <c r="F469" s="14"/>
    </row>
    <row r="470">
      <c r="A470" s="13"/>
      <c r="F470" s="14"/>
    </row>
    <row r="471">
      <c r="A471" s="13"/>
      <c r="F471" s="14"/>
    </row>
    <row r="472">
      <c r="A472" s="13"/>
      <c r="F472" s="14"/>
    </row>
    <row r="473">
      <c r="A473" s="13"/>
      <c r="F473" s="14"/>
    </row>
    <row r="474">
      <c r="A474" s="13"/>
      <c r="F474" s="14"/>
    </row>
    <row r="475">
      <c r="A475" s="13"/>
      <c r="F475" s="14"/>
    </row>
    <row r="476">
      <c r="A476" s="13"/>
      <c r="F476" s="14"/>
    </row>
    <row r="477">
      <c r="A477" s="13"/>
      <c r="F477" s="14"/>
    </row>
    <row r="478">
      <c r="A478" s="13"/>
      <c r="F478" s="14"/>
    </row>
    <row r="479">
      <c r="A479" s="13"/>
      <c r="F479" s="14"/>
    </row>
    <row r="480">
      <c r="A480" s="13"/>
      <c r="F480" s="14"/>
    </row>
    <row r="481">
      <c r="A481" s="13"/>
      <c r="F481" s="14"/>
    </row>
    <row r="482">
      <c r="A482" s="13"/>
      <c r="F482" s="14"/>
    </row>
    <row r="483">
      <c r="A483" s="13"/>
      <c r="F483" s="14"/>
    </row>
    <row r="484">
      <c r="A484" s="13"/>
      <c r="F484" s="14"/>
    </row>
    <row r="485">
      <c r="A485" s="13"/>
      <c r="F485" s="14"/>
    </row>
    <row r="486">
      <c r="A486" s="13"/>
      <c r="F486" s="14"/>
    </row>
    <row r="487">
      <c r="A487" s="13"/>
      <c r="F487" s="14"/>
    </row>
    <row r="488">
      <c r="A488" s="13"/>
      <c r="F488" s="14"/>
    </row>
    <row r="489">
      <c r="A489" s="13"/>
      <c r="F489" s="14"/>
    </row>
    <row r="490">
      <c r="A490" s="13"/>
      <c r="F490" s="14"/>
    </row>
    <row r="491">
      <c r="A491" s="13"/>
      <c r="F491" s="14"/>
    </row>
    <row r="492">
      <c r="A492" s="13"/>
      <c r="F492" s="14"/>
    </row>
    <row r="493">
      <c r="A493" s="13"/>
      <c r="F493" s="14"/>
    </row>
    <row r="494">
      <c r="A494" s="13"/>
      <c r="F494" s="14"/>
    </row>
    <row r="495">
      <c r="A495" s="13"/>
      <c r="F495" s="14"/>
    </row>
    <row r="496">
      <c r="A496" s="13"/>
      <c r="F496" s="14"/>
    </row>
    <row r="497">
      <c r="A497" s="13"/>
      <c r="F497" s="14"/>
    </row>
    <row r="498">
      <c r="A498" s="13"/>
      <c r="F498" s="14"/>
    </row>
    <row r="499">
      <c r="A499" s="13"/>
      <c r="F499" s="14"/>
    </row>
    <row r="500">
      <c r="A500" s="13"/>
      <c r="F500" s="14"/>
    </row>
    <row r="501">
      <c r="A501" s="13"/>
      <c r="F501" s="14"/>
    </row>
    <row r="502">
      <c r="A502" s="13"/>
      <c r="F502" s="14"/>
    </row>
    <row r="503">
      <c r="A503" s="13"/>
      <c r="F503" s="14"/>
    </row>
    <row r="504">
      <c r="A504" s="13"/>
      <c r="F504" s="14"/>
    </row>
    <row r="505">
      <c r="A505" s="13"/>
      <c r="F505" s="14"/>
    </row>
    <row r="506">
      <c r="A506" s="13"/>
      <c r="F506" s="14"/>
    </row>
    <row r="507">
      <c r="A507" s="13"/>
      <c r="F507" s="14"/>
    </row>
    <row r="508">
      <c r="A508" s="13"/>
      <c r="F508" s="14"/>
    </row>
    <row r="509">
      <c r="A509" s="13"/>
      <c r="F509" s="14"/>
    </row>
    <row r="510">
      <c r="A510" s="13"/>
      <c r="F510" s="14"/>
    </row>
    <row r="511">
      <c r="A511" s="13"/>
      <c r="F511" s="14"/>
    </row>
    <row r="512">
      <c r="A512" s="13"/>
      <c r="F512" s="14"/>
    </row>
    <row r="513">
      <c r="A513" s="13"/>
      <c r="F513" s="14"/>
    </row>
    <row r="514">
      <c r="A514" s="13"/>
      <c r="F514" s="14"/>
    </row>
    <row r="515">
      <c r="A515" s="13"/>
      <c r="F515" s="14"/>
    </row>
    <row r="516">
      <c r="A516" s="13"/>
      <c r="F516" s="14"/>
    </row>
    <row r="517">
      <c r="A517" s="13"/>
      <c r="F517" s="14"/>
    </row>
    <row r="518">
      <c r="A518" s="13"/>
      <c r="F518" s="14"/>
    </row>
    <row r="519">
      <c r="A519" s="13"/>
      <c r="F519" s="14"/>
    </row>
    <row r="520">
      <c r="A520" s="13"/>
      <c r="F520" s="14"/>
    </row>
    <row r="521">
      <c r="A521" s="13"/>
      <c r="F521" s="14"/>
    </row>
    <row r="522">
      <c r="A522" s="13"/>
      <c r="F522" s="14"/>
    </row>
    <row r="523">
      <c r="A523" s="13"/>
      <c r="F523" s="14"/>
    </row>
    <row r="524">
      <c r="A524" s="13"/>
      <c r="F524" s="14"/>
    </row>
    <row r="525">
      <c r="A525" s="13"/>
      <c r="F525" s="14"/>
    </row>
    <row r="526">
      <c r="A526" s="13"/>
      <c r="F526" s="14"/>
    </row>
    <row r="527">
      <c r="A527" s="13"/>
      <c r="F527" s="14"/>
    </row>
    <row r="528">
      <c r="A528" s="13"/>
      <c r="F528" s="14"/>
    </row>
    <row r="529">
      <c r="A529" s="13"/>
      <c r="F529" s="14"/>
    </row>
    <row r="530">
      <c r="A530" s="13"/>
      <c r="F530" s="14"/>
    </row>
    <row r="531">
      <c r="A531" s="13"/>
      <c r="F531" s="14"/>
    </row>
    <row r="532">
      <c r="A532" s="13"/>
      <c r="F532" s="14"/>
    </row>
    <row r="533">
      <c r="A533" s="13"/>
      <c r="F533" s="14"/>
    </row>
    <row r="534">
      <c r="A534" s="13"/>
      <c r="F534" s="14"/>
    </row>
    <row r="535">
      <c r="A535" s="13"/>
      <c r="F535" s="14"/>
    </row>
    <row r="536">
      <c r="A536" s="13"/>
      <c r="F536" s="14"/>
    </row>
    <row r="537">
      <c r="A537" s="13"/>
      <c r="F537" s="14"/>
    </row>
    <row r="538">
      <c r="A538" s="13"/>
      <c r="F538" s="14"/>
    </row>
    <row r="539">
      <c r="A539" s="13"/>
      <c r="F539" s="14"/>
    </row>
    <row r="540">
      <c r="A540" s="13"/>
      <c r="F540" s="14"/>
    </row>
    <row r="541">
      <c r="A541" s="13"/>
      <c r="F541" s="14"/>
    </row>
    <row r="542">
      <c r="A542" s="13"/>
      <c r="F542" s="14"/>
    </row>
    <row r="543">
      <c r="A543" s="13"/>
      <c r="F543" s="14"/>
    </row>
    <row r="544">
      <c r="A544" s="13"/>
      <c r="F544" s="14"/>
    </row>
    <row r="545">
      <c r="A545" s="13"/>
      <c r="F545" s="14"/>
    </row>
    <row r="546">
      <c r="A546" s="13"/>
      <c r="F546" s="14"/>
    </row>
    <row r="547">
      <c r="A547" s="13"/>
      <c r="F547" s="14"/>
    </row>
    <row r="548">
      <c r="A548" s="13"/>
      <c r="F548" s="14"/>
    </row>
    <row r="549">
      <c r="A549" s="13"/>
      <c r="F549" s="14"/>
    </row>
    <row r="550">
      <c r="A550" s="13"/>
      <c r="F550" s="14"/>
    </row>
    <row r="551">
      <c r="A551" s="13"/>
      <c r="F551" s="14"/>
    </row>
    <row r="552">
      <c r="A552" s="13"/>
      <c r="F552" s="14"/>
    </row>
    <row r="553">
      <c r="A553" s="13"/>
      <c r="F553" s="14"/>
    </row>
    <row r="554">
      <c r="A554" s="13"/>
      <c r="F554" s="14"/>
    </row>
    <row r="555">
      <c r="A555" s="13"/>
      <c r="F555" s="14"/>
    </row>
    <row r="556">
      <c r="A556" s="13"/>
      <c r="F556" s="14"/>
    </row>
    <row r="557">
      <c r="A557" s="13"/>
      <c r="F557" s="14"/>
    </row>
    <row r="558">
      <c r="A558" s="13"/>
      <c r="F558" s="14"/>
    </row>
    <row r="559">
      <c r="A559" s="13"/>
      <c r="F559" s="14"/>
    </row>
    <row r="560">
      <c r="A560" s="13"/>
      <c r="F560" s="14"/>
    </row>
    <row r="561">
      <c r="A561" s="13"/>
      <c r="F561" s="14"/>
    </row>
    <row r="562">
      <c r="A562" s="13"/>
      <c r="F562" s="14"/>
    </row>
    <row r="563">
      <c r="A563" s="13"/>
      <c r="F563" s="14"/>
    </row>
    <row r="564">
      <c r="A564" s="13"/>
      <c r="F564" s="14"/>
    </row>
    <row r="565">
      <c r="A565" s="13"/>
      <c r="F565" s="14"/>
    </row>
    <row r="566">
      <c r="A566" s="13"/>
      <c r="F566" s="14"/>
    </row>
    <row r="567">
      <c r="A567" s="13"/>
      <c r="F567" s="14"/>
    </row>
    <row r="568">
      <c r="A568" s="13"/>
      <c r="F568" s="14"/>
    </row>
    <row r="569">
      <c r="A569" s="13"/>
      <c r="F569" s="14"/>
    </row>
    <row r="570">
      <c r="A570" s="13"/>
      <c r="F570" s="14"/>
    </row>
    <row r="571">
      <c r="A571" s="13"/>
      <c r="F571" s="14"/>
    </row>
    <row r="572">
      <c r="A572" s="13"/>
      <c r="F572" s="14"/>
    </row>
    <row r="573">
      <c r="A573" s="13"/>
      <c r="F573" s="14"/>
    </row>
    <row r="574">
      <c r="A574" s="13"/>
      <c r="F574" s="14"/>
    </row>
    <row r="575">
      <c r="A575" s="13"/>
      <c r="F575" s="14"/>
    </row>
    <row r="576">
      <c r="A576" s="13"/>
      <c r="F576" s="14"/>
    </row>
    <row r="577">
      <c r="A577" s="13"/>
      <c r="F577" s="14"/>
    </row>
    <row r="578">
      <c r="A578" s="13"/>
      <c r="F578" s="14"/>
    </row>
    <row r="579">
      <c r="A579" s="13"/>
      <c r="F579" s="14"/>
    </row>
    <row r="580">
      <c r="A580" s="13"/>
      <c r="F580" s="14"/>
    </row>
    <row r="581">
      <c r="A581" s="13"/>
      <c r="F581" s="14"/>
    </row>
    <row r="582">
      <c r="A582" s="13"/>
      <c r="F582" s="14"/>
    </row>
    <row r="583">
      <c r="A583" s="13"/>
      <c r="F583" s="14"/>
    </row>
    <row r="584">
      <c r="A584" s="13"/>
      <c r="F584" s="14"/>
    </row>
    <row r="585">
      <c r="A585" s="13"/>
      <c r="F585" s="14"/>
    </row>
    <row r="586">
      <c r="A586" s="13"/>
      <c r="F586" s="14"/>
    </row>
    <row r="587">
      <c r="A587" s="13"/>
      <c r="F587" s="14"/>
    </row>
    <row r="588">
      <c r="A588" s="13"/>
      <c r="F588" s="14"/>
    </row>
    <row r="589">
      <c r="A589" s="13"/>
      <c r="F589" s="14"/>
    </row>
    <row r="590">
      <c r="A590" s="13"/>
      <c r="F590" s="14"/>
    </row>
    <row r="591">
      <c r="A591" s="13"/>
      <c r="F591" s="14"/>
    </row>
    <row r="592">
      <c r="A592" s="13"/>
      <c r="F592" s="14"/>
    </row>
    <row r="593">
      <c r="A593" s="13"/>
      <c r="F593" s="14"/>
    </row>
    <row r="594">
      <c r="A594" s="13"/>
      <c r="F594" s="14"/>
    </row>
    <row r="595">
      <c r="A595" s="13"/>
      <c r="F595" s="14"/>
    </row>
    <row r="596">
      <c r="A596" s="13"/>
      <c r="F596" s="14"/>
    </row>
    <row r="597">
      <c r="A597" s="13"/>
      <c r="F597" s="14"/>
    </row>
    <row r="598">
      <c r="A598" s="13"/>
      <c r="F598" s="14"/>
    </row>
    <row r="599">
      <c r="A599" s="13"/>
      <c r="F599" s="14"/>
    </row>
    <row r="600">
      <c r="A600" s="13"/>
      <c r="F600" s="14"/>
    </row>
    <row r="601">
      <c r="A601" s="13"/>
      <c r="F601" s="14"/>
    </row>
    <row r="602">
      <c r="A602" s="13"/>
      <c r="F602" s="14"/>
    </row>
    <row r="603">
      <c r="A603" s="13"/>
      <c r="F603" s="14"/>
    </row>
    <row r="604">
      <c r="A604" s="13"/>
      <c r="F604" s="14"/>
    </row>
    <row r="605">
      <c r="A605" s="13"/>
      <c r="F605" s="14"/>
    </row>
    <row r="606">
      <c r="A606" s="13"/>
      <c r="F606" s="14"/>
    </row>
    <row r="607">
      <c r="A607" s="13"/>
      <c r="F607" s="14"/>
    </row>
    <row r="608">
      <c r="A608" s="13"/>
      <c r="F608" s="14"/>
    </row>
    <row r="609">
      <c r="A609" s="13"/>
      <c r="F609" s="14"/>
    </row>
    <row r="610">
      <c r="A610" s="13"/>
      <c r="F610" s="14"/>
    </row>
    <row r="611">
      <c r="A611" s="13"/>
      <c r="F611" s="14"/>
    </row>
    <row r="612">
      <c r="A612" s="13"/>
      <c r="F612" s="14"/>
    </row>
    <row r="613">
      <c r="A613" s="13"/>
      <c r="F613" s="14"/>
    </row>
    <row r="614">
      <c r="A614" s="13"/>
      <c r="F614" s="14"/>
    </row>
    <row r="615">
      <c r="A615" s="13"/>
      <c r="F615" s="14"/>
    </row>
    <row r="616">
      <c r="A616" s="13"/>
      <c r="F616" s="14"/>
    </row>
    <row r="617">
      <c r="A617" s="13"/>
      <c r="F617" s="14"/>
    </row>
    <row r="618">
      <c r="A618" s="13"/>
      <c r="F618" s="14"/>
    </row>
    <row r="619">
      <c r="A619" s="13"/>
      <c r="F619" s="14"/>
    </row>
    <row r="620">
      <c r="A620" s="13"/>
      <c r="F620" s="14"/>
    </row>
    <row r="621">
      <c r="A621" s="13"/>
      <c r="F621" s="14"/>
    </row>
    <row r="622">
      <c r="A622" s="13"/>
      <c r="F622" s="14"/>
    </row>
    <row r="623">
      <c r="A623" s="13"/>
      <c r="F623" s="14"/>
    </row>
    <row r="624">
      <c r="A624" s="13"/>
      <c r="F624" s="14"/>
    </row>
    <row r="625">
      <c r="A625" s="13"/>
      <c r="F625" s="14"/>
    </row>
    <row r="626">
      <c r="A626" s="13"/>
      <c r="F626" s="14"/>
    </row>
    <row r="627">
      <c r="A627" s="13"/>
      <c r="F627" s="14"/>
    </row>
    <row r="628">
      <c r="A628" s="13"/>
      <c r="F628" s="14"/>
    </row>
    <row r="629">
      <c r="A629" s="13"/>
      <c r="F629" s="14"/>
    </row>
    <row r="630">
      <c r="A630" s="13"/>
      <c r="F630" s="14"/>
    </row>
    <row r="631">
      <c r="A631" s="13"/>
      <c r="F631" s="14"/>
    </row>
    <row r="632">
      <c r="A632" s="13"/>
      <c r="F632" s="14"/>
    </row>
    <row r="633">
      <c r="A633" s="13"/>
      <c r="F633" s="14"/>
    </row>
    <row r="634">
      <c r="A634" s="13"/>
      <c r="F634" s="14"/>
    </row>
    <row r="635">
      <c r="A635" s="13"/>
      <c r="F635" s="14"/>
    </row>
    <row r="636">
      <c r="A636" s="13"/>
      <c r="F636" s="14"/>
    </row>
    <row r="637">
      <c r="A637" s="13"/>
      <c r="F637" s="14"/>
    </row>
    <row r="638">
      <c r="A638" s="13"/>
      <c r="F638" s="14"/>
    </row>
    <row r="639">
      <c r="A639" s="13"/>
      <c r="F639" s="14"/>
    </row>
    <row r="640">
      <c r="A640" s="13"/>
      <c r="F640" s="14"/>
    </row>
    <row r="641">
      <c r="A641" s="13"/>
      <c r="F641" s="14"/>
    </row>
    <row r="642">
      <c r="A642" s="13"/>
      <c r="F642" s="14"/>
    </row>
    <row r="643">
      <c r="A643" s="13"/>
      <c r="F643" s="14"/>
    </row>
    <row r="644">
      <c r="A644" s="13"/>
      <c r="F644" s="14"/>
    </row>
    <row r="645">
      <c r="A645" s="13"/>
      <c r="F645" s="14"/>
    </row>
    <row r="646">
      <c r="A646" s="13"/>
      <c r="F646" s="14"/>
    </row>
    <row r="647">
      <c r="A647" s="13"/>
      <c r="F647" s="14"/>
    </row>
    <row r="648">
      <c r="A648" s="13"/>
      <c r="F648" s="14"/>
    </row>
    <row r="649">
      <c r="A649" s="13"/>
      <c r="F649" s="14"/>
    </row>
    <row r="650">
      <c r="A650" s="13"/>
      <c r="F650" s="14"/>
    </row>
    <row r="651">
      <c r="A651" s="13"/>
      <c r="F651" s="14"/>
    </row>
    <row r="652">
      <c r="A652" s="13"/>
      <c r="F652" s="14"/>
    </row>
    <row r="653">
      <c r="A653" s="13"/>
      <c r="F653" s="14"/>
    </row>
    <row r="654">
      <c r="A654" s="13"/>
      <c r="F654" s="14"/>
    </row>
    <row r="655">
      <c r="A655" s="13"/>
      <c r="F655" s="14"/>
    </row>
    <row r="656">
      <c r="A656" s="13"/>
      <c r="F656" s="14"/>
    </row>
    <row r="657">
      <c r="A657" s="13"/>
      <c r="F657" s="14"/>
    </row>
    <row r="658">
      <c r="A658" s="13"/>
      <c r="F658" s="14"/>
    </row>
    <row r="659">
      <c r="A659" s="13"/>
      <c r="F659" s="14"/>
    </row>
    <row r="660">
      <c r="A660" s="13"/>
      <c r="F660" s="14"/>
    </row>
    <row r="661">
      <c r="A661" s="13"/>
      <c r="F661" s="14"/>
    </row>
    <row r="662">
      <c r="A662" s="13"/>
      <c r="F662" s="14"/>
    </row>
    <row r="663">
      <c r="A663" s="13"/>
      <c r="F663" s="14"/>
    </row>
    <row r="664">
      <c r="A664" s="13"/>
      <c r="F664" s="14"/>
    </row>
    <row r="665">
      <c r="A665" s="13"/>
      <c r="F665" s="14"/>
    </row>
    <row r="666">
      <c r="A666" s="13"/>
      <c r="F666" s="14"/>
    </row>
    <row r="667">
      <c r="A667" s="13"/>
      <c r="F667" s="14"/>
    </row>
    <row r="668">
      <c r="A668" s="13"/>
      <c r="F668" s="14"/>
    </row>
    <row r="669">
      <c r="A669" s="13"/>
      <c r="F669" s="14"/>
    </row>
    <row r="670">
      <c r="A670" s="13"/>
      <c r="F670" s="14"/>
    </row>
    <row r="671">
      <c r="A671" s="13"/>
      <c r="F671" s="14"/>
    </row>
    <row r="672">
      <c r="A672" s="13"/>
      <c r="F672" s="14"/>
    </row>
    <row r="673">
      <c r="A673" s="13"/>
      <c r="F673" s="14"/>
    </row>
    <row r="674">
      <c r="A674" s="13"/>
      <c r="F674" s="14"/>
    </row>
    <row r="675">
      <c r="A675" s="13"/>
      <c r="F675" s="14"/>
    </row>
    <row r="676">
      <c r="A676" s="13"/>
      <c r="F676" s="14"/>
    </row>
    <row r="677">
      <c r="A677" s="13"/>
      <c r="F677" s="14"/>
    </row>
    <row r="678">
      <c r="A678" s="13"/>
      <c r="F678" s="14"/>
    </row>
    <row r="679">
      <c r="A679" s="13"/>
      <c r="F679" s="14"/>
    </row>
    <row r="680">
      <c r="A680" s="13"/>
      <c r="F680" s="14"/>
    </row>
    <row r="681">
      <c r="A681" s="13"/>
      <c r="F681" s="14"/>
    </row>
    <row r="682">
      <c r="A682" s="13"/>
      <c r="F682" s="14"/>
    </row>
    <row r="683">
      <c r="A683" s="13"/>
      <c r="F683" s="14"/>
    </row>
    <row r="684">
      <c r="A684" s="13"/>
      <c r="F684" s="14"/>
    </row>
    <row r="685">
      <c r="A685" s="13"/>
      <c r="F685" s="14"/>
    </row>
    <row r="686">
      <c r="A686" s="13"/>
      <c r="F686" s="14"/>
    </row>
    <row r="687">
      <c r="A687" s="13"/>
      <c r="F687" s="14"/>
    </row>
    <row r="688">
      <c r="A688" s="13"/>
      <c r="F688" s="14"/>
    </row>
    <row r="689">
      <c r="A689" s="13"/>
      <c r="F689" s="14"/>
    </row>
    <row r="690">
      <c r="A690" s="13"/>
      <c r="F690" s="14"/>
    </row>
    <row r="691">
      <c r="A691" s="13"/>
      <c r="F691" s="14"/>
    </row>
    <row r="692">
      <c r="A692" s="13"/>
      <c r="F692" s="14"/>
    </row>
    <row r="693">
      <c r="A693" s="13"/>
      <c r="F693" s="14"/>
    </row>
    <row r="694">
      <c r="A694" s="13"/>
      <c r="F694" s="14"/>
    </row>
    <row r="695">
      <c r="A695" s="13"/>
      <c r="F695" s="14"/>
    </row>
    <row r="696">
      <c r="A696" s="13"/>
      <c r="F696" s="14"/>
    </row>
    <row r="697">
      <c r="A697" s="13"/>
      <c r="F697" s="14"/>
    </row>
    <row r="698">
      <c r="A698" s="13"/>
      <c r="F698" s="14"/>
    </row>
    <row r="699">
      <c r="A699" s="13"/>
      <c r="F699" s="14"/>
    </row>
    <row r="700">
      <c r="A700" s="13"/>
      <c r="F700" s="14"/>
    </row>
    <row r="701">
      <c r="A701" s="13"/>
      <c r="F701" s="14"/>
    </row>
    <row r="702">
      <c r="A702" s="13"/>
      <c r="F702" s="14"/>
    </row>
    <row r="703">
      <c r="A703" s="13"/>
      <c r="F703" s="14"/>
    </row>
    <row r="704">
      <c r="A704" s="13"/>
      <c r="F704" s="14"/>
    </row>
    <row r="705">
      <c r="A705" s="13"/>
      <c r="F705" s="14"/>
    </row>
    <row r="706">
      <c r="A706" s="13"/>
      <c r="F706" s="14"/>
    </row>
    <row r="707">
      <c r="A707" s="13"/>
      <c r="F707" s="14"/>
    </row>
    <row r="708">
      <c r="A708" s="13"/>
      <c r="F708" s="14"/>
    </row>
    <row r="709">
      <c r="A709" s="13"/>
      <c r="F709" s="14"/>
    </row>
    <row r="710">
      <c r="A710" s="13"/>
      <c r="F710" s="14"/>
    </row>
    <row r="711">
      <c r="A711" s="13"/>
      <c r="F711" s="14"/>
    </row>
    <row r="712">
      <c r="A712" s="13"/>
      <c r="F712" s="14"/>
    </row>
    <row r="713">
      <c r="A713" s="13"/>
      <c r="F713" s="14"/>
    </row>
    <row r="714">
      <c r="A714" s="13"/>
      <c r="F714" s="14"/>
    </row>
    <row r="715">
      <c r="A715" s="13"/>
      <c r="F715" s="14"/>
    </row>
    <row r="716">
      <c r="A716" s="13"/>
      <c r="F716" s="14"/>
    </row>
    <row r="717">
      <c r="A717" s="13"/>
      <c r="F717" s="14"/>
    </row>
    <row r="718">
      <c r="A718" s="13"/>
      <c r="F718" s="14"/>
    </row>
    <row r="719">
      <c r="A719" s="13"/>
      <c r="F719" s="14"/>
    </row>
    <row r="720">
      <c r="A720" s="13"/>
      <c r="F720" s="14"/>
    </row>
    <row r="721">
      <c r="A721" s="13"/>
      <c r="F721" s="14"/>
    </row>
    <row r="722">
      <c r="A722" s="13"/>
      <c r="F722" s="14"/>
    </row>
    <row r="723">
      <c r="A723" s="13"/>
      <c r="F723" s="14"/>
    </row>
    <row r="724">
      <c r="A724" s="13"/>
      <c r="F724" s="14"/>
    </row>
    <row r="725">
      <c r="A725" s="13"/>
      <c r="F725" s="14"/>
    </row>
    <row r="726">
      <c r="A726" s="13"/>
      <c r="F726" s="14"/>
    </row>
    <row r="727">
      <c r="A727" s="13"/>
      <c r="F727" s="14"/>
    </row>
    <row r="728">
      <c r="A728" s="13"/>
      <c r="F728" s="14"/>
    </row>
    <row r="729">
      <c r="A729" s="13"/>
      <c r="F729" s="14"/>
    </row>
    <row r="730">
      <c r="A730" s="13"/>
      <c r="F730" s="14"/>
    </row>
    <row r="731">
      <c r="A731" s="13"/>
      <c r="F731" s="14"/>
    </row>
    <row r="732">
      <c r="A732" s="13"/>
      <c r="F732" s="14"/>
    </row>
    <row r="733">
      <c r="A733" s="13"/>
      <c r="F733" s="14"/>
    </row>
    <row r="734">
      <c r="A734" s="13"/>
      <c r="F734" s="14"/>
    </row>
    <row r="735">
      <c r="A735" s="13"/>
      <c r="F735" s="14"/>
    </row>
    <row r="736">
      <c r="A736" s="13"/>
      <c r="F736" s="14"/>
    </row>
    <row r="737">
      <c r="A737" s="13"/>
      <c r="F737" s="14"/>
    </row>
    <row r="738">
      <c r="A738" s="13"/>
      <c r="F738" s="14"/>
    </row>
    <row r="739">
      <c r="A739" s="13"/>
      <c r="F739" s="14"/>
    </row>
    <row r="740">
      <c r="A740" s="13"/>
      <c r="F740" s="14"/>
    </row>
    <row r="741">
      <c r="A741" s="13"/>
      <c r="F741" s="14"/>
    </row>
    <row r="742">
      <c r="A742" s="13"/>
      <c r="F742" s="14"/>
    </row>
    <row r="743">
      <c r="A743" s="13"/>
      <c r="F743" s="14"/>
    </row>
    <row r="744">
      <c r="A744" s="13"/>
      <c r="F744" s="14"/>
    </row>
    <row r="745">
      <c r="A745" s="13"/>
      <c r="F745" s="14"/>
    </row>
    <row r="746">
      <c r="A746" s="13"/>
      <c r="F746" s="14"/>
    </row>
    <row r="747">
      <c r="A747" s="13"/>
      <c r="F747" s="14"/>
    </row>
    <row r="748">
      <c r="A748" s="13"/>
      <c r="F748" s="14"/>
    </row>
    <row r="749">
      <c r="A749" s="13"/>
      <c r="F749" s="14"/>
    </row>
    <row r="750">
      <c r="A750" s="13"/>
      <c r="F750" s="14"/>
    </row>
    <row r="751">
      <c r="A751" s="13"/>
      <c r="F751" s="14"/>
    </row>
    <row r="752">
      <c r="A752" s="13"/>
      <c r="F752" s="14"/>
    </row>
    <row r="753">
      <c r="A753" s="13"/>
      <c r="F753" s="14"/>
    </row>
    <row r="754">
      <c r="A754" s="13"/>
      <c r="F754" s="14"/>
    </row>
    <row r="755">
      <c r="A755" s="13"/>
      <c r="F755" s="14"/>
    </row>
    <row r="756">
      <c r="A756" s="13"/>
      <c r="F756" s="14"/>
    </row>
    <row r="757">
      <c r="A757" s="13"/>
      <c r="F757" s="14"/>
    </row>
    <row r="758">
      <c r="A758" s="13"/>
      <c r="F758" s="14"/>
    </row>
    <row r="759">
      <c r="A759" s="13"/>
      <c r="F759" s="14"/>
    </row>
    <row r="760">
      <c r="A760" s="13"/>
      <c r="F760" s="14"/>
    </row>
    <row r="761">
      <c r="A761" s="13"/>
      <c r="F761" s="14"/>
    </row>
    <row r="762">
      <c r="A762" s="13"/>
      <c r="F762" s="14"/>
    </row>
    <row r="763">
      <c r="A763" s="13"/>
      <c r="F763" s="14"/>
    </row>
    <row r="764">
      <c r="A764" s="13"/>
      <c r="F764" s="14"/>
    </row>
    <row r="765">
      <c r="A765" s="13"/>
      <c r="F765" s="14"/>
    </row>
    <row r="766">
      <c r="A766" s="13"/>
      <c r="F766" s="14"/>
    </row>
    <row r="767">
      <c r="A767" s="13"/>
      <c r="F767" s="14"/>
    </row>
    <row r="768">
      <c r="A768" s="13"/>
      <c r="F768" s="14"/>
    </row>
    <row r="769">
      <c r="A769" s="13"/>
      <c r="F769" s="14"/>
    </row>
    <row r="770">
      <c r="A770" s="13"/>
      <c r="F770" s="14"/>
    </row>
    <row r="771">
      <c r="A771" s="13"/>
      <c r="F771" s="14"/>
    </row>
    <row r="772">
      <c r="A772" s="13"/>
      <c r="F772" s="14"/>
    </row>
    <row r="773">
      <c r="A773" s="13"/>
      <c r="F773" s="14"/>
    </row>
    <row r="774">
      <c r="A774" s="13"/>
      <c r="F774" s="14"/>
    </row>
    <row r="775">
      <c r="A775" s="13"/>
      <c r="F775" s="14"/>
    </row>
    <row r="776">
      <c r="A776" s="13"/>
      <c r="F776" s="14"/>
    </row>
    <row r="777">
      <c r="A777" s="13"/>
      <c r="F777" s="14"/>
    </row>
    <row r="778">
      <c r="A778" s="13"/>
      <c r="F778" s="14"/>
    </row>
    <row r="779">
      <c r="A779" s="13"/>
      <c r="F779" s="14"/>
    </row>
    <row r="780">
      <c r="A780" s="13"/>
      <c r="F780" s="14"/>
    </row>
    <row r="781">
      <c r="A781" s="13"/>
      <c r="F781" s="14"/>
    </row>
    <row r="782">
      <c r="A782" s="13"/>
      <c r="F782" s="14"/>
    </row>
    <row r="783">
      <c r="A783" s="13"/>
      <c r="F783" s="14"/>
    </row>
    <row r="784">
      <c r="A784" s="13"/>
      <c r="F784" s="14"/>
    </row>
    <row r="785">
      <c r="A785" s="13"/>
      <c r="F785" s="14"/>
    </row>
    <row r="786">
      <c r="A786" s="13"/>
      <c r="F786" s="14"/>
    </row>
    <row r="787">
      <c r="A787" s="13"/>
      <c r="F787" s="14"/>
    </row>
    <row r="788">
      <c r="A788" s="13"/>
      <c r="F788" s="14"/>
    </row>
    <row r="789">
      <c r="A789" s="13"/>
      <c r="F789" s="14"/>
    </row>
    <row r="790">
      <c r="A790" s="13"/>
      <c r="F790" s="14"/>
    </row>
    <row r="791">
      <c r="A791" s="13"/>
      <c r="F791" s="14"/>
    </row>
    <row r="792">
      <c r="A792" s="13"/>
      <c r="F792" s="14"/>
    </row>
    <row r="793">
      <c r="A793" s="13"/>
      <c r="F793" s="14"/>
    </row>
    <row r="794">
      <c r="A794" s="13"/>
      <c r="F794" s="14"/>
    </row>
    <row r="795">
      <c r="A795" s="13"/>
      <c r="F795" s="14"/>
    </row>
    <row r="796">
      <c r="A796" s="13"/>
      <c r="F796" s="14"/>
    </row>
    <row r="797">
      <c r="A797" s="13"/>
      <c r="F797" s="14"/>
    </row>
    <row r="798">
      <c r="A798" s="13"/>
      <c r="F798" s="14"/>
    </row>
    <row r="799">
      <c r="A799" s="13"/>
      <c r="F799" s="14"/>
    </row>
    <row r="800">
      <c r="A800" s="13"/>
      <c r="F800" s="14"/>
    </row>
    <row r="801">
      <c r="A801" s="13"/>
      <c r="F801" s="14"/>
    </row>
    <row r="802">
      <c r="A802" s="13"/>
      <c r="F802" s="14"/>
    </row>
    <row r="803">
      <c r="A803" s="13"/>
      <c r="F803" s="14"/>
    </row>
    <row r="804">
      <c r="A804" s="13"/>
      <c r="F804" s="14"/>
    </row>
    <row r="805">
      <c r="A805" s="13"/>
      <c r="F805" s="14"/>
    </row>
    <row r="806">
      <c r="A806" s="13"/>
      <c r="F806" s="14"/>
    </row>
    <row r="807">
      <c r="A807" s="13"/>
      <c r="F807" s="14"/>
    </row>
    <row r="808">
      <c r="A808" s="13"/>
      <c r="F808" s="14"/>
    </row>
    <row r="809">
      <c r="A809" s="13"/>
      <c r="F809" s="14"/>
    </row>
    <row r="810">
      <c r="A810" s="13"/>
      <c r="F810" s="14"/>
    </row>
    <row r="811">
      <c r="A811" s="13"/>
      <c r="F811" s="14"/>
    </row>
    <row r="812">
      <c r="A812" s="13"/>
      <c r="F812" s="14"/>
    </row>
    <row r="813">
      <c r="A813" s="13"/>
      <c r="F813" s="14"/>
    </row>
    <row r="814">
      <c r="A814" s="13"/>
      <c r="F814" s="14"/>
    </row>
    <row r="815">
      <c r="A815" s="13"/>
      <c r="F815" s="14"/>
    </row>
    <row r="816">
      <c r="A816" s="13"/>
      <c r="F816" s="14"/>
    </row>
    <row r="817">
      <c r="A817" s="13"/>
      <c r="F817" s="14"/>
    </row>
    <row r="818">
      <c r="A818" s="13"/>
      <c r="F818" s="14"/>
    </row>
    <row r="819">
      <c r="A819" s="13"/>
      <c r="F819" s="14"/>
    </row>
    <row r="820">
      <c r="A820" s="13"/>
      <c r="F820" s="14"/>
    </row>
    <row r="821">
      <c r="A821" s="13"/>
      <c r="F821" s="14"/>
    </row>
    <row r="822">
      <c r="A822" s="13"/>
      <c r="F822" s="14"/>
    </row>
    <row r="823">
      <c r="A823" s="13"/>
      <c r="F823" s="14"/>
    </row>
    <row r="824">
      <c r="A824" s="13"/>
      <c r="F824" s="14"/>
    </row>
    <row r="825">
      <c r="A825" s="13"/>
      <c r="F825" s="14"/>
    </row>
    <row r="826">
      <c r="A826" s="13"/>
      <c r="F826" s="14"/>
    </row>
    <row r="827">
      <c r="A827" s="13"/>
      <c r="F827" s="14"/>
    </row>
    <row r="828">
      <c r="A828" s="13"/>
      <c r="F828" s="14"/>
    </row>
    <row r="829">
      <c r="A829" s="13"/>
      <c r="F829" s="14"/>
    </row>
    <row r="830">
      <c r="A830" s="13"/>
      <c r="F830" s="14"/>
    </row>
    <row r="831">
      <c r="A831" s="13"/>
      <c r="F831" s="14"/>
    </row>
    <row r="832">
      <c r="A832" s="13"/>
      <c r="F832" s="14"/>
    </row>
    <row r="833">
      <c r="A833" s="13"/>
      <c r="F833" s="14"/>
    </row>
    <row r="834">
      <c r="A834" s="13"/>
      <c r="F834" s="14"/>
    </row>
    <row r="835">
      <c r="A835" s="13"/>
      <c r="F835" s="14"/>
    </row>
    <row r="836">
      <c r="A836" s="13"/>
      <c r="F836" s="14"/>
    </row>
    <row r="837">
      <c r="A837" s="13"/>
      <c r="F837" s="14"/>
    </row>
    <row r="838">
      <c r="A838" s="13"/>
      <c r="F838" s="14"/>
    </row>
    <row r="839">
      <c r="A839" s="13"/>
      <c r="F839" s="14"/>
    </row>
    <row r="840">
      <c r="A840" s="13"/>
      <c r="F840" s="14"/>
    </row>
    <row r="841">
      <c r="A841" s="13"/>
      <c r="F841" s="14"/>
    </row>
    <row r="842">
      <c r="A842" s="13"/>
      <c r="F842" s="14"/>
    </row>
    <row r="843">
      <c r="A843" s="13"/>
      <c r="F843" s="14"/>
    </row>
    <row r="844">
      <c r="A844" s="13"/>
      <c r="F844" s="14"/>
    </row>
    <row r="845">
      <c r="A845" s="13"/>
      <c r="F845" s="14"/>
    </row>
    <row r="846">
      <c r="A846" s="13"/>
      <c r="F846" s="14"/>
    </row>
    <row r="847">
      <c r="A847" s="13"/>
      <c r="F847" s="14"/>
    </row>
    <row r="848">
      <c r="A848" s="13"/>
      <c r="F848" s="14"/>
    </row>
    <row r="849">
      <c r="A849" s="13"/>
      <c r="F849" s="14"/>
    </row>
    <row r="850">
      <c r="A850" s="13"/>
      <c r="F850" s="14"/>
    </row>
    <row r="851">
      <c r="A851" s="13"/>
      <c r="F851" s="14"/>
    </row>
    <row r="852">
      <c r="A852" s="13"/>
      <c r="F852" s="14"/>
    </row>
    <row r="853">
      <c r="A853" s="13"/>
      <c r="F853" s="14"/>
    </row>
    <row r="854">
      <c r="A854" s="13"/>
      <c r="F854" s="14"/>
    </row>
    <row r="855">
      <c r="A855" s="13"/>
      <c r="F855" s="14"/>
    </row>
    <row r="856">
      <c r="A856" s="13"/>
      <c r="F856" s="14"/>
    </row>
    <row r="857">
      <c r="A857" s="13"/>
      <c r="F857" s="14"/>
    </row>
    <row r="858">
      <c r="A858" s="13"/>
      <c r="F858" s="14"/>
    </row>
    <row r="859">
      <c r="A859" s="13"/>
      <c r="F859" s="14"/>
    </row>
    <row r="860">
      <c r="A860" s="13"/>
      <c r="F860" s="14"/>
    </row>
    <row r="861">
      <c r="A861" s="13"/>
      <c r="F861" s="14"/>
    </row>
    <row r="862">
      <c r="A862" s="13"/>
      <c r="F862" s="14"/>
    </row>
    <row r="863">
      <c r="A863" s="13"/>
      <c r="F863" s="14"/>
    </row>
    <row r="864">
      <c r="A864" s="13"/>
      <c r="F864" s="14"/>
    </row>
    <row r="865">
      <c r="A865" s="13"/>
      <c r="F865" s="14"/>
    </row>
    <row r="866">
      <c r="A866" s="13"/>
      <c r="F866" s="14"/>
    </row>
    <row r="867">
      <c r="A867" s="13"/>
      <c r="F867" s="14"/>
    </row>
    <row r="868">
      <c r="A868" s="13"/>
      <c r="F868" s="14"/>
    </row>
    <row r="869">
      <c r="A869" s="13"/>
      <c r="F869" s="14"/>
    </row>
    <row r="870">
      <c r="A870" s="13"/>
      <c r="F870" s="14"/>
    </row>
    <row r="871">
      <c r="A871" s="13"/>
      <c r="F871" s="14"/>
    </row>
    <row r="872">
      <c r="A872" s="13"/>
      <c r="F872" s="14"/>
    </row>
    <row r="873">
      <c r="A873" s="13"/>
      <c r="F873" s="14"/>
    </row>
    <row r="874">
      <c r="A874" s="13"/>
      <c r="F874" s="14"/>
    </row>
    <row r="875">
      <c r="A875" s="13"/>
      <c r="F875" s="14"/>
    </row>
    <row r="876">
      <c r="A876" s="13"/>
      <c r="F876" s="14"/>
    </row>
    <row r="877">
      <c r="A877" s="13"/>
      <c r="F877" s="14"/>
    </row>
    <row r="878">
      <c r="A878" s="13"/>
      <c r="F878" s="14"/>
    </row>
    <row r="879">
      <c r="A879" s="13"/>
      <c r="F879" s="14"/>
    </row>
    <row r="880">
      <c r="A880" s="13"/>
      <c r="F880" s="14"/>
    </row>
    <row r="881">
      <c r="A881" s="13"/>
      <c r="F881" s="14"/>
    </row>
    <row r="882">
      <c r="A882" s="13"/>
      <c r="F882" s="14"/>
    </row>
    <row r="883">
      <c r="A883" s="13"/>
      <c r="F883" s="14"/>
    </row>
    <row r="884">
      <c r="A884" s="13"/>
      <c r="F884" s="14"/>
    </row>
    <row r="885">
      <c r="A885" s="13"/>
      <c r="F885" s="14"/>
    </row>
    <row r="886">
      <c r="A886" s="13"/>
      <c r="F886" s="14"/>
    </row>
    <row r="887">
      <c r="A887" s="13"/>
      <c r="F887" s="14"/>
    </row>
    <row r="888">
      <c r="A888" s="13"/>
      <c r="F888" s="14"/>
    </row>
    <row r="889">
      <c r="A889" s="13"/>
      <c r="F889" s="14"/>
    </row>
    <row r="890">
      <c r="A890" s="13"/>
      <c r="F890" s="14"/>
    </row>
    <row r="891">
      <c r="A891" s="13"/>
      <c r="F891" s="14"/>
    </row>
    <row r="892">
      <c r="A892" s="13"/>
      <c r="F892" s="14"/>
    </row>
    <row r="893">
      <c r="A893" s="13"/>
      <c r="F893" s="14"/>
    </row>
    <row r="894">
      <c r="A894" s="13"/>
      <c r="F894" s="14"/>
    </row>
    <row r="895">
      <c r="A895" s="13"/>
      <c r="F895" s="14"/>
    </row>
    <row r="896">
      <c r="A896" s="13"/>
      <c r="F896" s="14"/>
    </row>
    <row r="897">
      <c r="A897" s="13"/>
      <c r="F897" s="14"/>
    </row>
    <row r="898">
      <c r="A898" s="13"/>
      <c r="F898" s="14"/>
    </row>
    <row r="899">
      <c r="A899" s="13"/>
      <c r="F899" s="14"/>
    </row>
    <row r="900">
      <c r="A900" s="13"/>
      <c r="F900" s="14"/>
    </row>
    <row r="901">
      <c r="A901" s="13"/>
      <c r="F901" s="14"/>
    </row>
    <row r="902">
      <c r="A902" s="13"/>
      <c r="F902" s="14"/>
    </row>
    <row r="903">
      <c r="A903" s="13"/>
      <c r="F903" s="14"/>
    </row>
    <row r="904">
      <c r="A904" s="13"/>
      <c r="F904" s="14"/>
    </row>
    <row r="905">
      <c r="A905" s="13"/>
      <c r="F905" s="14"/>
    </row>
    <row r="906">
      <c r="A906" s="13"/>
      <c r="F906" s="14"/>
    </row>
    <row r="907">
      <c r="A907" s="13"/>
      <c r="F907" s="14"/>
    </row>
    <row r="908">
      <c r="A908" s="13"/>
      <c r="F908" s="14"/>
    </row>
    <row r="909">
      <c r="A909" s="13"/>
      <c r="F909" s="14"/>
    </row>
    <row r="910">
      <c r="A910" s="13"/>
      <c r="F910" s="14"/>
    </row>
    <row r="911">
      <c r="A911" s="13"/>
      <c r="F911" s="14"/>
    </row>
    <row r="912">
      <c r="A912" s="13"/>
      <c r="F912" s="14"/>
    </row>
    <row r="913">
      <c r="A913" s="13"/>
      <c r="F913" s="14"/>
    </row>
    <row r="914">
      <c r="A914" s="13"/>
      <c r="F914" s="14"/>
    </row>
    <row r="915">
      <c r="A915" s="13"/>
      <c r="F915" s="14"/>
    </row>
    <row r="916">
      <c r="A916" s="13"/>
      <c r="F916" s="14"/>
    </row>
    <row r="917">
      <c r="A917" s="13"/>
      <c r="F917" s="14"/>
    </row>
    <row r="918">
      <c r="A918" s="13"/>
      <c r="F918" s="14"/>
    </row>
    <row r="919">
      <c r="A919" s="13"/>
      <c r="F919" s="14"/>
    </row>
    <row r="920">
      <c r="A920" s="13"/>
      <c r="F920" s="14"/>
    </row>
    <row r="921">
      <c r="A921" s="13"/>
      <c r="F921" s="14"/>
    </row>
    <row r="922">
      <c r="A922" s="13"/>
      <c r="F922" s="14"/>
    </row>
    <row r="923">
      <c r="A923" s="13"/>
      <c r="F923" s="14"/>
    </row>
    <row r="924">
      <c r="A924" s="13"/>
      <c r="F924" s="14"/>
    </row>
    <row r="925">
      <c r="A925" s="13"/>
      <c r="F925" s="14"/>
    </row>
    <row r="926">
      <c r="A926" s="13"/>
      <c r="F926" s="14"/>
    </row>
    <row r="927">
      <c r="A927" s="13"/>
      <c r="F927" s="14"/>
    </row>
    <row r="928">
      <c r="A928" s="13"/>
      <c r="F928" s="14"/>
    </row>
    <row r="929">
      <c r="A929" s="13"/>
      <c r="F929" s="14"/>
    </row>
    <row r="930">
      <c r="A930" s="13"/>
      <c r="F930" s="14"/>
    </row>
    <row r="931">
      <c r="A931" s="13"/>
      <c r="F931" s="14"/>
    </row>
    <row r="932">
      <c r="A932" s="13"/>
      <c r="F932" s="14"/>
    </row>
    <row r="933">
      <c r="A933" s="13"/>
      <c r="F933" s="14"/>
    </row>
    <row r="934">
      <c r="A934" s="13"/>
      <c r="F934" s="14"/>
    </row>
    <row r="935">
      <c r="A935" s="13"/>
      <c r="F935" s="14"/>
    </row>
    <row r="936">
      <c r="A936" s="13"/>
      <c r="F936" s="14"/>
    </row>
    <row r="937">
      <c r="A937" s="13"/>
      <c r="F937" s="14"/>
    </row>
    <row r="938">
      <c r="A938" s="13"/>
      <c r="F938" s="14"/>
    </row>
    <row r="939">
      <c r="A939" s="13"/>
      <c r="F939" s="14"/>
    </row>
    <row r="940">
      <c r="A940" s="13"/>
      <c r="F940" s="14"/>
    </row>
    <row r="941">
      <c r="A941" s="13"/>
      <c r="F941" s="14"/>
    </row>
    <row r="942">
      <c r="A942" s="13"/>
      <c r="F942" s="14"/>
    </row>
    <row r="943">
      <c r="A943" s="13"/>
      <c r="F943" s="14"/>
    </row>
    <row r="944">
      <c r="A944" s="13"/>
      <c r="F944" s="14"/>
    </row>
    <row r="945">
      <c r="A945" s="13"/>
      <c r="F945" s="14"/>
    </row>
    <row r="946">
      <c r="A946" s="13"/>
      <c r="F946" s="14"/>
    </row>
    <row r="947">
      <c r="A947" s="13"/>
      <c r="F947" s="14"/>
    </row>
    <row r="948">
      <c r="A948" s="13"/>
      <c r="F948" s="14"/>
    </row>
    <row r="949">
      <c r="A949" s="13"/>
      <c r="F949" s="14"/>
    </row>
    <row r="950">
      <c r="A950" s="13"/>
      <c r="F950" s="14"/>
    </row>
    <row r="951">
      <c r="A951" s="13"/>
      <c r="F951" s="14"/>
    </row>
    <row r="952">
      <c r="A952" s="13"/>
      <c r="F952" s="14"/>
    </row>
    <row r="953">
      <c r="A953" s="13"/>
      <c r="F953" s="14"/>
    </row>
    <row r="954">
      <c r="A954" s="13"/>
      <c r="F954" s="14"/>
    </row>
    <row r="955">
      <c r="A955" s="13"/>
      <c r="F955" s="14"/>
    </row>
    <row r="956">
      <c r="A956" s="13"/>
      <c r="F956" s="14"/>
    </row>
    <row r="957">
      <c r="A957" s="13"/>
      <c r="F957" s="14"/>
    </row>
    <row r="958">
      <c r="A958" s="13"/>
      <c r="F958" s="14"/>
    </row>
    <row r="959">
      <c r="A959" s="13"/>
      <c r="F959" s="14"/>
    </row>
    <row r="960">
      <c r="A960" s="13"/>
      <c r="F960" s="14"/>
    </row>
    <row r="961">
      <c r="A961" s="13"/>
      <c r="F961" s="14"/>
    </row>
    <row r="962">
      <c r="A962" s="13"/>
      <c r="F962" s="14"/>
    </row>
    <row r="963">
      <c r="A963" s="13"/>
      <c r="F963" s="14"/>
    </row>
    <row r="964">
      <c r="A964" s="13"/>
      <c r="F964" s="14"/>
    </row>
    <row r="965">
      <c r="A965" s="13"/>
      <c r="F965" s="14"/>
    </row>
    <row r="966">
      <c r="A966" s="13"/>
      <c r="F966" s="14"/>
    </row>
    <row r="967">
      <c r="A967" s="13"/>
      <c r="F967" s="14"/>
    </row>
    <row r="968">
      <c r="A968" s="13"/>
      <c r="F968" s="14"/>
    </row>
    <row r="969">
      <c r="A969" s="13"/>
      <c r="F969" s="14"/>
    </row>
    <row r="970">
      <c r="A970" s="13"/>
      <c r="F970" s="14"/>
    </row>
    <row r="971">
      <c r="A971" s="13"/>
      <c r="F971" s="14"/>
    </row>
    <row r="972">
      <c r="A972" s="13"/>
      <c r="F972" s="14"/>
    </row>
    <row r="973">
      <c r="A973" s="13"/>
      <c r="F973" s="14"/>
    </row>
    <row r="974">
      <c r="A974" s="13"/>
      <c r="F974" s="14"/>
    </row>
    <row r="975">
      <c r="A975" s="13"/>
      <c r="F975" s="14"/>
    </row>
    <row r="976">
      <c r="A976" s="13"/>
      <c r="F976" s="14"/>
    </row>
    <row r="977">
      <c r="A977" s="13"/>
      <c r="F977" s="14"/>
    </row>
    <row r="978">
      <c r="A978" s="13"/>
      <c r="F978" s="14"/>
    </row>
    <row r="979">
      <c r="A979" s="13"/>
      <c r="F979" s="14"/>
    </row>
    <row r="980">
      <c r="A980" s="13"/>
      <c r="F980" s="14"/>
    </row>
    <row r="981">
      <c r="A981" s="13"/>
      <c r="F981" s="14"/>
    </row>
    <row r="982">
      <c r="A982" s="13"/>
      <c r="F982" s="14"/>
    </row>
    <row r="983">
      <c r="A983" s="13"/>
      <c r="F983" s="14"/>
    </row>
    <row r="984">
      <c r="A984" s="13"/>
      <c r="F984" s="14"/>
    </row>
    <row r="985">
      <c r="A985" s="13"/>
      <c r="F985" s="14"/>
    </row>
    <row r="986">
      <c r="A986" s="13"/>
      <c r="F986" s="14"/>
    </row>
    <row r="987">
      <c r="A987" s="13"/>
      <c r="F987" s="14"/>
    </row>
    <row r="988">
      <c r="A988" s="13"/>
      <c r="F988" s="14"/>
    </row>
    <row r="989">
      <c r="A989" s="13"/>
      <c r="F989" s="14"/>
    </row>
    <row r="990">
      <c r="A990" s="13"/>
      <c r="F990" s="14"/>
    </row>
    <row r="991">
      <c r="A991" s="13"/>
      <c r="F991" s="14"/>
    </row>
    <row r="992">
      <c r="A992" s="13"/>
      <c r="F992" s="14"/>
    </row>
    <row r="993">
      <c r="A993" s="13"/>
      <c r="F993" s="14"/>
    </row>
    <row r="994">
      <c r="A994" s="13"/>
      <c r="F994" s="14"/>
    </row>
    <row r="995">
      <c r="A995" s="13"/>
      <c r="F995" s="14"/>
    </row>
    <row r="996">
      <c r="A996" s="13"/>
      <c r="F996" s="14"/>
    </row>
    <row r="997">
      <c r="A997" s="13"/>
      <c r="F997" s="14"/>
    </row>
    <row r="998">
      <c r="A998" s="13"/>
      <c r="F998" s="14"/>
    </row>
    <row r="999">
      <c r="A999" s="13"/>
      <c r="F999" s="14"/>
    </row>
    <row r="1000">
      <c r="A1000" s="13"/>
      <c r="F1000" s="14"/>
    </row>
  </sheetData>
  <hyperlinks>
    <hyperlink r:id="rId1" ref="K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4" max="4" width="15.75"/>
    <col customWidth="1" min="5" max="5" width="21.25"/>
    <col customWidth="1" min="8" max="8" width="28.63"/>
  </cols>
  <sheetData>
    <row r="1">
      <c r="A1" s="1" t="s">
        <v>0</v>
      </c>
      <c r="B1" s="18" t="s">
        <v>10</v>
      </c>
      <c r="C1" s="19" t="s">
        <v>11</v>
      </c>
      <c r="D1" s="20" t="s">
        <v>12</v>
      </c>
      <c r="E1" s="21" t="s">
        <v>13</v>
      </c>
      <c r="H1" s="22" t="s">
        <v>14</v>
      </c>
      <c r="I1" s="23"/>
      <c r="J1" s="24"/>
    </row>
    <row r="2">
      <c r="A2" s="4">
        <v>46086.0</v>
      </c>
      <c r="B2" s="5">
        <f>ifna(VLOOKUP(A2,'Spotify company'!A:F,6,0),"")</f>
        <v>552.12</v>
      </c>
      <c r="C2" s="15">
        <v>69500.0</v>
      </c>
      <c r="D2" s="25">
        <f t="shared" ref="D2:E2" si="1">ifna(B2/B3-1,"")</f>
        <v>0</v>
      </c>
      <c r="E2" s="25">
        <f t="shared" si="1"/>
        <v>0.08255451713</v>
      </c>
      <c r="H2" s="26"/>
      <c r="I2" s="27" t="str">
        <f t="shared" ref="I2:J2" si="2">B1</f>
        <v>Spotify</v>
      </c>
      <c r="J2" s="28" t="str">
        <f t="shared" si="2"/>
        <v>122870 KQ</v>
      </c>
    </row>
    <row r="3">
      <c r="A3" s="4">
        <v>46083.0</v>
      </c>
      <c r="B3" s="5">
        <f>ifna(VLOOKUP(A3,'Spotify company'!A:F,6,0),"")</f>
        <v>552.12</v>
      </c>
      <c r="C3" s="15">
        <f>ifna(VLOOKUP(A3,'YG Entertainment'!A2:G59,6,0),"")</f>
        <v>64200</v>
      </c>
      <c r="D3" s="25">
        <f t="shared" ref="D3:E3" si="3">ifna(B3/B4-1,"")</f>
        <v>0.07220258671</v>
      </c>
      <c r="E3" s="25">
        <f t="shared" si="3"/>
        <v>-0.1324324324</v>
      </c>
      <c r="H3" s="29"/>
      <c r="I3" s="30"/>
      <c r="J3" s="31"/>
    </row>
    <row r="4">
      <c r="A4" s="4">
        <v>46076.0</v>
      </c>
      <c r="B4" s="5">
        <f>ifna(VLOOKUP(A4,'Spotify company'!A:F,6,0),"")</f>
        <v>514.94</v>
      </c>
      <c r="C4" s="15">
        <f>ifna(VLOOKUP(A4,'YG Entertainment'!A3:G60,6,0),"")</f>
        <v>74000</v>
      </c>
      <c r="D4" s="25">
        <f t="shared" ref="D4:E4" si="4">ifna(B4/B5-1,"")</f>
        <v>0.04961271912</v>
      </c>
      <c r="E4" s="25">
        <f t="shared" si="4"/>
        <v>0.009549795362</v>
      </c>
      <c r="H4" s="32" t="s">
        <v>15</v>
      </c>
      <c r="I4" s="25">
        <f t="shared" ref="I4:J4" si="5">MAX(D:D)</f>
        <v>0.1255521008</v>
      </c>
      <c r="J4" s="33">
        <f t="shared" si="5"/>
        <v>0.1738035264</v>
      </c>
    </row>
    <row r="5">
      <c r="A5" s="4">
        <v>46069.0</v>
      </c>
      <c r="B5" s="5">
        <f>ifna(VLOOKUP(A5,'Spotify company'!A:F,6,0),"")</f>
        <v>490.6</v>
      </c>
      <c r="C5" s="15">
        <f>ifna(VLOOKUP(A5,'YG Entertainment'!A4:G61,6,0),"")</f>
        <v>73300</v>
      </c>
      <c r="D5" s="25">
        <f t="shared" ref="D5:E5" si="6">ifna(B5/B6-1,"")</f>
        <v>0.07038443077</v>
      </c>
      <c r="E5" s="25">
        <f t="shared" si="6"/>
        <v>0.00548696845</v>
      </c>
      <c r="H5" s="32" t="s">
        <v>16</v>
      </c>
      <c r="I5" s="25">
        <f t="shared" ref="I5:J5" si="7">MIN(D:D)</f>
        <v>-0.1553712401</v>
      </c>
      <c r="J5" s="33">
        <f t="shared" si="7"/>
        <v>-0.2131147541</v>
      </c>
    </row>
    <row r="6">
      <c r="A6" s="4">
        <v>46062.0</v>
      </c>
      <c r="B6" s="5">
        <f>ifna(VLOOKUP(A6,'Spotify company'!A:F,6,0),"")</f>
        <v>458.34</v>
      </c>
      <c r="C6" s="15">
        <f>ifna(VLOOKUP(A6,'YG Entertainment'!A5:G62,6,0),"")</f>
        <v>72900</v>
      </c>
      <c r="D6" s="25">
        <f t="shared" ref="D6:E6" si="8">ifna(B6/B7-1,"")</f>
        <v>0.08454603535</v>
      </c>
      <c r="E6" s="25">
        <f t="shared" si="8"/>
        <v>0.03994293866</v>
      </c>
      <c r="H6" s="32" t="s">
        <v>17</v>
      </c>
      <c r="I6" s="25">
        <f t="shared" ref="I6:J6" si="9">I4-I5</f>
        <v>0.2809233409</v>
      </c>
      <c r="J6" s="33">
        <f t="shared" si="9"/>
        <v>0.3869182805</v>
      </c>
    </row>
    <row r="7">
      <c r="A7" s="4">
        <v>46055.0</v>
      </c>
      <c r="B7" s="5">
        <f>ifna(VLOOKUP(A7,'Spotify company'!A:F,6,0),"")</f>
        <v>422.61</v>
      </c>
      <c r="C7" s="15">
        <f>ifna(VLOOKUP(A7,'YG Entertainment'!A6:G63,6,0),"")</f>
        <v>70100</v>
      </c>
      <c r="D7" s="25">
        <f t="shared" ref="D7:E7" si="10">ifna(B7/B8-1,"")</f>
        <v>-0.1553712401</v>
      </c>
      <c r="E7" s="25">
        <f t="shared" si="10"/>
        <v>-0.06157965194</v>
      </c>
      <c r="H7" s="34"/>
      <c r="J7" s="35"/>
    </row>
    <row r="8">
      <c r="A8" s="4">
        <v>46048.0</v>
      </c>
      <c r="B8" s="5">
        <f>ifna(VLOOKUP(A8,'Spotify company'!A:F,6,0),"")</f>
        <v>500.35</v>
      </c>
      <c r="C8" s="15">
        <f>ifna(VLOOKUP(A8,'YG Entertainment'!A7:G64,6,0),"")</f>
        <v>74700</v>
      </c>
      <c r="D8" s="25">
        <f t="shared" ref="D8:E8" si="11">ifna(B8/B9-1,"")</f>
        <v>-0.02505796847</v>
      </c>
      <c r="E8" s="25">
        <f t="shared" si="11"/>
        <v>0.05657708628</v>
      </c>
      <c r="H8" s="32" t="s">
        <v>18</v>
      </c>
      <c r="I8" s="25">
        <f t="shared" ref="I8:J8" si="12">_xlfn.PERCENTILE.INC(D:D,0.75)</f>
        <v>0.04375511056</v>
      </c>
      <c r="J8" s="33">
        <f t="shared" si="12"/>
        <v>0.0325203252</v>
      </c>
    </row>
    <row r="9">
      <c r="A9" s="4">
        <v>46041.0</v>
      </c>
      <c r="B9" s="5">
        <f>ifna(VLOOKUP(A9,'Spotify company'!A:F,6,0),"")</f>
        <v>513.21</v>
      </c>
      <c r="C9" s="15">
        <f>ifna(VLOOKUP(A9,'YG Entertainment'!A8:G65,6,0),"")</f>
        <v>70700</v>
      </c>
      <c r="D9" s="25">
        <f t="shared" ref="D9:E9" si="13">ifna(B9/B10-1,"")</f>
        <v>0.01726461843</v>
      </c>
      <c r="E9" s="25">
        <f t="shared" si="13"/>
        <v>0.02761627907</v>
      </c>
      <c r="H9" s="32" t="s">
        <v>19</v>
      </c>
      <c r="I9" s="25">
        <f t="shared" ref="I9:J9" si="14">_xlfn.PERCENTILE.INC(D:D, 0.25)</f>
        <v>-0.02616259619</v>
      </c>
      <c r="J9" s="33">
        <f t="shared" si="14"/>
        <v>-0.02173913043</v>
      </c>
    </row>
    <row r="10">
      <c r="A10" s="4">
        <v>46034.0</v>
      </c>
      <c r="B10" s="5">
        <f>ifna(VLOOKUP(A10,'Spotify company'!A:F,6,0),"")</f>
        <v>504.5</v>
      </c>
      <c r="C10" s="15">
        <f>ifna(VLOOKUP(A10,'YG Entertainment'!A9:G66,6,0),"")</f>
        <v>68800</v>
      </c>
      <c r="D10" s="25">
        <f t="shared" ref="D10:E10" si="15">ifna(B10/B11-1,"")</f>
        <v>-0.06464949849</v>
      </c>
      <c r="E10" s="25">
        <f t="shared" si="15"/>
        <v>0.02380952381</v>
      </c>
      <c r="H10" s="32" t="s">
        <v>20</v>
      </c>
      <c r="I10" s="25">
        <f t="shared" ref="I10:J10" si="16">I8-I9</f>
        <v>0.06991770675</v>
      </c>
      <c r="J10" s="33">
        <f t="shared" si="16"/>
        <v>0.05425945564</v>
      </c>
    </row>
    <row r="11">
      <c r="A11" s="4">
        <v>46027.0</v>
      </c>
      <c r="B11" s="5">
        <f>ifna(VLOOKUP(A11,'Spotify company'!A:F,6,0),"")</f>
        <v>539.37</v>
      </c>
      <c r="C11" s="15">
        <f>ifna(VLOOKUP(A11,'YG Entertainment'!A10:G67,6,0),"")</f>
        <v>67200</v>
      </c>
      <c r="D11" s="25">
        <f t="shared" ref="D11:E11" si="17">ifna(B11/B12-1,"")</f>
        <v>-0.06196521739</v>
      </c>
      <c r="E11" s="25">
        <f t="shared" si="17"/>
        <v>-0.04545454545</v>
      </c>
      <c r="H11" s="32" t="s">
        <v>21</v>
      </c>
      <c r="I11" s="25">
        <f t="shared" ref="I11:J11" si="18">I10*1.5</f>
        <v>0.1048765601</v>
      </c>
      <c r="J11" s="33">
        <f t="shared" si="18"/>
        <v>0.08138918346</v>
      </c>
    </row>
    <row r="12">
      <c r="A12" s="4">
        <v>46020.0</v>
      </c>
      <c r="B12" s="5">
        <f>ifna(VLOOKUP(A12,'Spotify company'!A:F,6,0),"")</f>
        <v>575</v>
      </c>
      <c r="C12" s="15">
        <f>ifna(VLOOKUP(A12,'YG Entertainment'!A11:G68,6,0),"")</f>
        <v>70400</v>
      </c>
      <c r="D12" s="25">
        <f t="shared" ref="D12:E12" si="19">ifna(B12/B13-1,"")</f>
        <v>-0.01600068452</v>
      </c>
      <c r="E12" s="25">
        <f t="shared" si="19"/>
        <v>0.09147286822</v>
      </c>
      <c r="H12" s="32" t="s">
        <v>22</v>
      </c>
      <c r="I12" s="25">
        <f t="shared" ref="I12:J12" si="20">I11+I8</f>
        <v>0.1486316707</v>
      </c>
      <c r="J12" s="33">
        <f t="shared" si="20"/>
        <v>0.1139095087</v>
      </c>
    </row>
    <row r="13">
      <c r="A13" s="4">
        <v>46013.0</v>
      </c>
      <c r="B13" s="5">
        <f>ifna(VLOOKUP(A13,'Spotify company'!A:F,6,0),"")</f>
        <v>584.35</v>
      </c>
      <c r="C13" s="15">
        <f>ifna(VLOOKUP(A13,'YG Entertainment'!A12:G69,6,0),"")</f>
        <v>64500</v>
      </c>
      <c r="D13" s="25">
        <f t="shared" ref="D13:E13" si="21">ifna(B13/B14-1,"")</f>
        <v>0.003761852412</v>
      </c>
      <c r="E13" s="25">
        <f t="shared" si="21"/>
        <v>0.01895734597</v>
      </c>
      <c r="H13" s="32" t="s">
        <v>23</v>
      </c>
      <c r="I13" s="25">
        <f t="shared" ref="I13:J13" si="22">I9-I11</f>
        <v>-0.1310391563</v>
      </c>
      <c r="J13" s="33">
        <f t="shared" si="22"/>
        <v>-0.1031283139</v>
      </c>
    </row>
    <row r="14">
      <c r="A14" s="4">
        <v>46006.0</v>
      </c>
      <c r="B14" s="5">
        <f>ifna(VLOOKUP(A14,'Spotify company'!A:F,6,0),"")</f>
        <v>582.16</v>
      </c>
      <c r="C14" s="15">
        <f>ifna(VLOOKUP(A14,'YG Entertainment'!A13:G70,6,0),"")</f>
        <v>63300</v>
      </c>
      <c r="D14" s="25">
        <f t="shared" ref="D14:E14" si="23">ifna(B14/B15-1,"")</f>
        <v>-0.02616259619</v>
      </c>
      <c r="E14" s="25">
        <f t="shared" si="23"/>
        <v>-0.004716981132</v>
      </c>
      <c r="H14" s="32" t="s">
        <v>24</v>
      </c>
      <c r="I14" s="25">
        <f t="shared" ref="I14:J14" si="24">AVERAGE(D:D)</f>
        <v>0.002325119514</v>
      </c>
      <c r="J14" s="33">
        <f t="shared" si="24"/>
        <v>0.004170076305</v>
      </c>
    </row>
    <row r="15">
      <c r="A15" s="4">
        <v>45999.0</v>
      </c>
      <c r="B15" s="5">
        <f>ifna(VLOOKUP(A15,'Spotify company'!A:F,6,0),"")</f>
        <v>597.8</v>
      </c>
      <c r="C15" s="15">
        <f>ifna(VLOOKUP(A15,'YG Entertainment'!A14:G71,6,0),"")</f>
        <v>63600</v>
      </c>
      <c r="D15" s="25">
        <f t="shared" ref="D15:E15" si="25">ifna(B15/B16-1,"")</f>
        <v>0.05818419981</v>
      </c>
      <c r="E15" s="25">
        <f t="shared" si="25"/>
        <v>0.02415458937</v>
      </c>
      <c r="H15" s="32" t="s">
        <v>25</v>
      </c>
      <c r="I15" s="36">
        <f t="shared" ref="I15:J15" si="26">(I5-I14)/I19</f>
        <v>-2.751854605</v>
      </c>
      <c r="J15" s="37">
        <f t="shared" si="26"/>
        <v>-3.319077625</v>
      </c>
    </row>
    <row r="16">
      <c r="A16" s="4">
        <v>45992.0</v>
      </c>
      <c r="B16" s="5">
        <f>ifna(VLOOKUP(A16,'Spotify company'!A:F,6,0),"")</f>
        <v>564.93</v>
      </c>
      <c r="C16" s="15">
        <f>ifna(VLOOKUP(A16,'YG Entertainment'!A15:G72,6,0),"")</f>
        <v>62100</v>
      </c>
      <c r="D16" s="25">
        <f t="shared" ref="D16:E16" si="27">ifna(B16/B17-1,"")</f>
        <v>-0.05667340157</v>
      </c>
      <c r="E16" s="25">
        <f t="shared" si="27"/>
        <v>-0.04314329738</v>
      </c>
      <c r="H16" s="32" t="s">
        <v>26</v>
      </c>
      <c r="I16" s="36">
        <f t="shared" ref="I16:J16" si="28">(I4-I14)/I19</f>
        <v>2.150352339</v>
      </c>
      <c r="J16" s="37">
        <f t="shared" si="28"/>
        <v>2.591191423</v>
      </c>
    </row>
    <row r="17">
      <c r="A17" s="4">
        <v>45985.0</v>
      </c>
      <c r="B17" s="5">
        <f>ifna(VLOOKUP(A17,'Spotify company'!A:F,6,0),"")</f>
        <v>598.87</v>
      </c>
      <c r="C17" s="15">
        <f>ifna(VLOOKUP(A17,'YG Entertainment'!A16:G73,6,0),"")</f>
        <v>64900</v>
      </c>
      <c r="D17" s="25">
        <f t="shared" ref="D17:E17" si="29">ifna(B17/B18-1,"")</f>
        <v>0.02614759857</v>
      </c>
      <c r="E17" s="25">
        <f t="shared" si="29"/>
        <v>0.06919275124</v>
      </c>
      <c r="H17" s="32" t="s">
        <v>27</v>
      </c>
      <c r="I17" s="25">
        <f t="shared" ref="I17:J17" si="30">AVEDEV(D:D)*54/53</f>
        <v>0.04645660867</v>
      </c>
      <c r="J17" s="33">
        <f t="shared" si="30"/>
        <v>0.04759949025</v>
      </c>
    </row>
    <row r="18">
      <c r="A18" s="4">
        <v>45978.0</v>
      </c>
      <c r="B18" s="5">
        <f>ifna(VLOOKUP(A18,'Spotify company'!A:F,6,0),"")</f>
        <v>583.61</v>
      </c>
      <c r="C18" s="15">
        <f>ifna(VLOOKUP(A18,'YG Entertainment'!A17:G74,6,0),"")</f>
        <v>60700</v>
      </c>
      <c r="D18" s="25">
        <f t="shared" ref="D18:E18" si="31">ifna(B18/B19-1,"")</f>
        <v>-0.08201337004</v>
      </c>
      <c r="E18" s="25">
        <f t="shared" si="31"/>
        <v>-0.02254428341</v>
      </c>
      <c r="H18" s="32" t="s">
        <v>28</v>
      </c>
      <c r="I18" s="25">
        <f t="shared" ref="I18:J18" si="32">VAR(D:D)</f>
        <v>0.003283918481</v>
      </c>
      <c r="J18" s="38">
        <f t="shared" si="32"/>
        <v>0.004285721991</v>
      </c>
    </row>
    <row r="19">
      <c r="A19" s="4">
        <v>45971.0</v>
      </c>
      <c r="B19" s="5">
        <f>ifna(VLOOKUP(A19,'Spotify company'!A:F,6,0),"")</f>
        <v>635.75</v>
      </c>
      <c r="C19" s="15">
        <f>ifna(VLOOKUP(A19,'YG Entertainment'!A18:G75,6,0),"")</f>
        <v>62100</v>
      </c>
      <c r="D19" s="25">
        <f t="shared" ref="D19:E19" si="33">ifna(B19/B20-1,"")</f>
        <v>0.03053930071</v>
      </c>
      <c r="E19" s="25">
        <f t="shared" si="33"/>
        <v>-0.1375</v>
      </c>
      <c r="H19" s="32" t="s">
        <v>29</v>
      </c>
      <c r="I19" s="25">
        <f t="shared" ref="I19:J19" si="34">_xlfn.STDEV.S(D:D)</f>
        <v>0.05730548386</v>
      </c>
      <c r="J19" s="33">
        <f t="shared" si="34"/>
        <v>0.06546542592</v>
      </c>
    </row>
    <row r="20">
      <c r="A20" s="4">
        <v>45964.0</v>
      </c>
      <c r="B20" s="5">
        <f>ifna(VLOOKUP(A20,'Spotify company'!A:F,6,0),"")</f>
        <v>616.91</v>
      </c>
      <c r="C20" s="15">
        <f>ifna(VLOOKUP(A20,'YG Entertainment'!A19:G76,6,0),"")</f>
        <v>72000</v>
      </c>
      <c r="D20" s="25">
        <f t="shared" ref="D20:E20" si="35">ifna(B20/B21-1,"")</f>
        <v>-0.05861258622</v>
      </c>
      <c r="E20" s="25">
        <f t="shared" si="35"/>
        <v>-0.2131147541</v>
      </c>
      <c r="H20" s="39" t="s">
        <v>30</v>
      </c>
      <c r="I20" s="40">
        <f t="shared" ref="I20:J20" si="36">I19/I14</f>
        <v>24.64625302</v>
      </c>
      <c r="J20" s="41">
        <f t="shared" si="36"/>
        <v>15.69885564</v>
      </c>
    </row>
    <row r="21">
      <c r="A21" s="4">
        <v>45957.0</v>
      </c>
      <c r="B21" s="5">
        <f>ifna(VLOOKUP(A21,'Spotify company'!A:F,6,0),"")</f>
        <v>655.32</v>
      </c>
      <c r="C21" s="15">
        <f>ifna(VLOOKUP(A21,'YG Entertainment'!A20:G77,6,0),"")</f>
        <v>91500</v>
      </c>
      <c r="D21" s="25">
        <f t="shared" ref="D21:E21" si="37">ifna(B21/B22-1,"")</f>
        <v>0.01477283285</v>
      </c>
      <c r="E21" s="25">
        <f t="shared" si="37"/>
        <v>0.01104972376</v>
      </c>
    </row>
    <row r="22">
      <c r="A22" s="4">
        <v>45950.0</v>
      </c>
      <c r="B22" s="5">
        <f>ifna(VLOOKUP(A22,'Spotify company'!A:F,6,0),"")</f>
        <v>645.78</v>
      </c>
      <c r="C22" s="15">
        <f>ifna(VLOOKUP(A22,'YG Entertainment'!A21:G78,6,0),"")</f>
        <v>90500</v>
      </c>
      <c r="D22" s="25">
        <f t="shared" ref="D22:E22" si="38">ifna(B22/B23-1,"")</f>
        <v>-0.03833095068</v>
      </c>
      <c r="E22" s="25">
        <f t="shared" si="38"/>
        <v>0.005555555556</v>
      </c>
    </row>
    <row r="23">
      <c r="A23" s="4">
        <v>45943.0</v>
      </c>
      <c r="B23" s="5">
        <f>ifna(VLOOKUP(A23,'Spotify company'!A:F,6,0),"")</f>
        <v>671.52</v>
      </c>
      <c r="C23" s="15">
        <f>ifna(VLOOKUP(A23,'YG Entertainment'!A22:G79,6,0),"")</f>
        <v>90000</v>
      </c>
      <c r="D23" s="25">
        <f t="shared" ref="D23:E23" si="39">ifna(B23/B24-1,"")</f>
        <v>-0.02009368297</v>
      </c>
      <c r="E23" s="25">
        <f t="shared" si="39"/>
        <v>-0.09638554217</v>
      </c>
      <c r="H23" s="42" t="s">
        <v>31</v>
      </c>
      <c r="I23" s="43">
        <f>_xlfn.COVARIANCE.S(D:D,E:E)</f>
        <v>0.001068954695</v>
      </c>
    </row>
    <row r="24">
      <c r="A24" s="4">
        <v>45936.0</v>
      </c>
      <c r="B24" s="5">
        <f>ifna(VLOOKUP(A24,'Spotify company'!A:F,6,0),"")</f>
        <v>685.29</v>
      </c>
      <c r="C24" s="15">
        <f>ifna(VLOOKUP(A24,'YG Entertainment'!A23:G80,6,0),"")</f>
        <v>99600</v>
      </c>
      <c r="D24" s="25">
        <f t="shared" ref="D24:E24" si="40">ifna(B24/B25-1,"")</f>
        <v>0.007038941954</v>
      </c>
      <c r="E24" s="25">
        <f t="shared" si="40"/>
        <v>0.01840490798</v>
      </c>
      <c r="H24" s="39" t="s">
        <v>32</v>
      </c>
      <c r="I24" s="44">
        <f>CORREL(D:D,E:E)</f>
        <v>0.2849384893</v>
      </c>
    </row>
    <row r="25">
      <c r="A25" s="4">
        <v>45929.0</v>
      </c>
      <c r="B25" s="5">
        <f>ifna(VLOOKUP(A25,'Spotify company'!A:F,6,0),"")</f>
        <v>680.5</v>
      </c>
      <c r="C25" s="15">
        <f>ifna(VLOOKUP(A25,'YG Entertainment'!A24:G81,6,0),"")</f>
        <v>97800</v>
      </c>
      <c r="D25" s="25">
        <f t="shared" ref="D25:E25" si="41">ifna(B25/B26-1,"")</f>
        <v>-0.05028400765</v>
      </c>
      <c r="E25" s="25">
        <f t="shared" si="41"/>
        <v>-0.02879841112</v>
      </c>
    </row>
    <row r="26">
      <c r="A26" s="4">
        <v>45922.0</v>
      </c>
      <c r="B26" s="5">
        <f>ifna(VLOOKUP(A26,'Spotify company'!A:F,6,0),"")</f>
        <v>716.53</v>
      </c>
      <c r="C26" s="15">
        <f>ifna(VLOOKUP(A26,'YG Entertainment'!A25:G82,6,0),"")</f>
        <v>100700</v>
      </c>
      <c r="D26" s="25">
        <f t="shared" ref="D26:E26" si="42">ifna(B26/B27-1,"")</f>
        <v>-0.02502313177</v>
      </c>
      <c r="E26" s="25">
        <f t="shared" si="42"/>
        <v>0.01820020222</v>
      </c>
    </row>
    <row r="27">
      <c r="A27" s="4">
        <v>45915.0</v>
      </c>
      <c r="B27" s="5">
        <f>ifna(VLOOKUP(A27,'Spotify company'!A:F,6,0),"")</f>
        <v>734.92</v>
      </c>
      <c r="C27" s="15">
        <f>ifna(VLOOKUP(A27,'YG Entertainment'!A26:G83,6,0),"")</f>
        <v>98900</v>
      </c>
      <c r="D27" s="25">
        <f t="shared" ref="D27:E27" si="43">ifna(B27/B28-1,"")</f>
        <v>0.05531303848</v>
      </c>
      <c r="E27" s="25">
        <f t="shared" si="43"/>
        <v>0.007128309572</v>
      </c>
    </row>
    <row r="28">
      <c r="A28" s="4">
        <v>45908.0</v>
      </c>
      <c r="B28" s="5">
        <f>ifna(VLOOKUP(A28,'Spotify company'!A:F,6,0),"")</f>
        <v>696.4</v>
      </c>
      <c r="C28" s="15">
        <f>ifna(VLOOKUP(A28,'YG Entertainment'!A27:G84,6,0),"")</f>
        <v>98200</v>
      </c>
      <c r="D28" s="25">
        <f t="shared" ref="D28:E28" si="44">ifna(B28/B29-1,"")</f>
        <v>-0.01525756869</v>
      </c>
      <c r="E28" s="25">
        <f t="shared" si="44"/>
        <v>-0.01306532663</v>
      </c>
    </row>
    <row r="29">
      <c r="A29" s="4">
        <v>45901.0</v>
      </c>
      <c r="B29" s="5">
        <f>ifna(VLOOKUP(A29,'Spotify company'!A:F,6,0),"")</f>
        <v>707.19</v>
      </c>
      <c r="C29" s="15">
        <f>ifna(VLOOKUP(A29,'YG Entertainment'!A28:G85,6,0),"")</f>
        <v>99500</v>
      </c>
      <c r="D29" s="25">
        <f t="shared" ref="D29:E29" si="45">ifna(B29/B30-1,"")</f>
        <v>0.03711796797</v>
      </c>
      <c r="E29" s="25">
        <f t="shared" si="45"/>
        <v>-0.02066929134</v>
      </c>
    </row>
    <row r="30">
      <c r="A30" s="4">
        <v>45894.0</v>
      </c>
      <c r="B30" s="5">
        <f>ifna(VLOOKUP(A30,'Spotify company'!A:F,6,0),"")</f>
        <v>681.88</v>
      </c>
      <c r="C30" s="15">
        <f>ifna(VLOOKUP(A30,'YG Entertainment'!A29:G86,6,0),"")</f>
        <v>101600</v>
      </c>
      <c r="D30" s="25">
        <f t="shared" ref="D30:E30" si="46">ifna(B30/B31-1,"")</f>
        <v>-0.01603197737</v>
      </c>
      <c r="E30" s="25">
        <f t="shared" si="46"/>
        <v>-0.003921568627</v>
      </c>
    </row>
    <row r="31">
      <c r="A31" s="4">
        <v>45887.0</v>
      </c>
      <c r="B31" s="5">
        <f>ifna(VLOOKUP(A31,'Spotify company'!A:F,6,0),"")</f>
        <v>692.99</v>
      </c>
      <c r="C31" s="15">
        <f>ifna(VLOOKUP(A31,'YG Entertainment'!A30:G87,6,0),"")</f>
        <v>102000</v>
      </c>
      <c r="D31" s="25">
        <f t="shared" ref="D31:E31" si="47">ifna(B31/B32-1,"")</f>
        <v>-0.05433877813</v>
      </c>
      <c r="E31" s="25">
        <f t="shared" si="47"/>
        <v>0.02926337033</v>
      </c>
    </row>
    <row r="32">
      <c r="A32" s="4">
        <v>45880.0</v>
      </c>
      <c r="B32" s="5">
        <f>ifna(VLOOKUP(A32,'Spotify company'!A:F,6,0),"")</f>
        <v>732.81</v>
      </c>
      <c r="C32" s="15">
        <f>ifna(VLOOKUP(A32,'YG Entertainment'!A31:G88,6,0),"")</f>
        <v>99100</v>
      </c>
      <c r="D32" s="25">
        <f t="shared" ref="D32:E32" si="48">ifna(B32/B33-1,"")</f>
        <v>0.03813625352</v>
      </c>
      <c r="E32" s="25">
        <f t="shared" si="48"/>
        <v>0.06330472103</v>
      </c>
    </row>
    <row r="33">
      <c r="A33" s="4">
        <v>45873.0</v>
      </c>
      <c r="B33" s="5">
        <f>ifna(VLOOKUP(A33,'Spotify company'!A:F,6,0),"")</f>
        <v>705.89</v>
      </c>
      <c r="C33" s="15">
        <f>ifna(VLOOKUP(A33,'YG Entertainment'!A32:G89,6,0),"")</f>
        <v>93200</v>
      </c>
      <c r="D33" s="25">
        <f t="shared" ref="D33:E33" si="49">ifna(B33/B34-1,"")</f>
        <v>0.1255521008</v>
      </c>
      <c r="E33" s="25">
        <f t="shared" si="49"/>
        <v>0.1738035264</v>
      </c>
    </row>
    <row r="34">
      <c r="A34" s="4">
        <v>45866.0</v>
      </c>
      <c r="B34" s="5">
        <f>ifna(VLOOKUP(A34,'Spotify company'!A:F,6,0),"")</f>
        <v>627.15</v>
      </c>
      <c r="C34" s="15">
        <f>ifna(VLOOKUP(A34,'YG Entertainment'!A33:G90,6,0),"")</f>
        <v>79400</v>
      </c>
      <c r="D34" s="25">
        <f t="shared" ref="D34:E34" si="50">ifna(B34/B35-1,"")</f>
        <v>-0.09515221469</v>
      </c>
      <c r="E34" s="25">
        <f t="shared" si="50"/>
        <v>-0.04452466907</v>
      </c>
    </row>
    <row r="35">
      <c r="A35" s="4">
        <v>45859.0</v>
      </c>
      <c r="B35" s="5">
        <f>ifna(VLOOKUP(A35,'Spotify company'!A:F,6,0),"")</f>
        <v>693.1</v>
      </c>
      <c r="C35" s="15">
        <f>ifna(VLOOKUP(A35,'YG Entertainment'!A34:G91,6,0),"")</f>
        <v>83100</v>
      </c>
      <c r="D35" s="25">
        <f t="shared" ref="D35:E35" si="51">ifna(B35/B36-1,"")</f>
        <v>-0.003422096969</v>
      </c>
      <c r="E35" s="25">
        <f t="shared" si="51"/>
        <v>-0.02120141343</v>
      </c>
    </row>
    <row r="36">
      <c r="A36" s="4">
        <v>45852.0</v>
      </c>
      <c r="B36" s="5">
        <f>ifna(VLOOKUP(A36,'Spotify company'!A:F,6,0),"")</f>
        <v>695.48</v>
      </c>
      <c r="C36" s="15">
        <f>ifna(VLOOKUP(A36,'YG Entertainment'!A35:G92,6,0),"")</f>
        <v>84900</v>
      </c>
      <c r="D36" s="25">
        <f t="shared" ref="D36:E36" si="52">ifna(B36/B37-1,"")</f>
        <v>-0.01927659874</v>
      </c>
      <c r="E36" s="25">
        <f t="shared" si="52"/>
        <v>-0.01849710983</v>
      </c>
    </row>
    <row r="37">
      <c r="A37" s="4">
        <v>45845.0</v>
      </c>
      <c r="B37" s="5">
        <f>ifna(VLOOKUP(A37,'Spotify company'!A:F,6,0),"")</f>
        <v>709.15</v>
      </c>
      <c r="C37" s="15">
        <f>ifna(VLOOKUP(A37,'YG Entertainment'!A36:G93,6,0),"")</f>
        <v>86500</v>
      </c>
      <c r="D37" s="25">
        <f t="shared" ref="D37:E37" si="53">ifna(B37/B38-1,"")</f>
        <v>-0.0219295221</v>
      </c>
      <c r="E37" s="25">
        <f t="shared" si="53"/>
        <v>0.02004716981</v>
      </c>
    </row>
    <row r="38">
      <c r="A38" s="4">
        <v>45838.0</v>
      </c>
      <c r="B38" s="5">
        <f>ifna(VLOOKUP(A38,'Spotify company'!A:F,6,0),"")</f>
        <v>725.05</v>
      </c>
      <c r="C38" s="15">
        <f>ifna(VLOOKUP(A38,'YG Entertainment'!A37:G94,6,0),"")</f>
        <v>84800</v>
      </c>
      <c r="D38" s="25">
        <f t="shared" ref="D38:E38" si="54">ifna(B38/B39-1,"")</f>
        <v>-0.06154543101</v>
      </c>
      <c r="E38" s="25">
        <f t="shared" si="54"/>
        <v>-0.08026030369</v>
      </c>
    </row>
    <row r="39">
      <c r="A39" s="4">
        <v>45831.0</v>
      </c>
      <c r="B39" s="5">
        <f>ifna(VLOOKUP(A39,'Spotify company'!A:F,6,0),"")</f>
        <v>772.6</v>
      </c>
      <c r="C39" s="15">
        <f>ifna(VLOOKUP(A39,'YG Entertainment'!A38:G95,6,0),"")</f>
        <v>92200</v>
      </c>
      <c r="D39" s="25">
        <f t="shared" ref="D39:E39" si="55">ifna(B39/B40-1,"")</f>
        <v>0.09213762687</v>
      </c>
      <c r="E39" s="25">
        <f t="shared" si="55"/>
        <v>-0.01600853789</v>
      </c>
    </row>
    <row r="40">
      <c r="A40" s="4">
        <v>45824.0</v>
      </c>
      <c r="B40" s="5">
        <f>ifna(VLOOKUP(A40,'Spotify company'!A:F,6,0),"")</f>
        <v>707.42</v>
      </c>
      <c r="C40" s="15">
        <f>ifna(VLOOKUP(A40,'YG Entertainment'!A39:G96,6,0),"")</f>
        <v>93700</v>
      </c>
      <c r="D40" s="25">
        <f t="shared" ref="D40:E40" si="56">ifna(B40/B41-1,"")</f>
        <v>-0.004825209257</v>
      </c>
      <c r="E40" s="25">
        <f t="shared" si="56"/>
        <v>0.09590643275</v>
      </c>
    </row>
    <row r="41">
      <c r="A41" s="4">
        <v>45817.0</v>
      </c>
      <c r="B41" s="5">
        <f>ifna(VLOOKUP(A41,'Spotify company'!A:F,6,0),"")</f>
        <v>710.85</v>
      </c>
      <c r="C41" s="15">
        <f>ifna(VLOOKUP(A41,'YG Entertainment'!A40:G97,6,0),"")</f>
        <v>85500</v>
      </c>
      <c r="D41" s="25">
        <f t="shared" ref="D41:E41" si="57">ifna(B41/B42-1,"")</f>
        <v>-0.001979614186</v>
      </c>
      <c r="E41" s="25">
        <f t="shared" si="57"/>
        <v>-0.02173913043</v>
      </c>
    </row>
    <row r="42">
      <c r="A42" s="4">
        <v>45810.0</v>
      </c>
      <c r="B42" s="5">
        <f>ifna(VLOOKUP(A42,'Spotify company'!A:F,6,0),"")</f>
        <v>712.26</v>
      </c>
      <c r="C42" s="15">
        <f>ifna(VLOOKUP(A42,'YG Entertainment'!A41:G98,6,0),"")</f>
        <v>87400</v>
      </c>
      <c r="D42" s="25">
        <f t="shared" ref="D42:E42" si="58">ifna(B42/B43-1,"")</f>
        <v>0.0708422287</v>
      </c>
      <c r="E42" s="25">
        <f t="shared" si="58"/>
        <v>0.07901234568</v>
      </c>
    </row>
    <row r="43">
      <c r="A43" s="4">
        <v>45803.0</v>
      </c>
      <c r="B43" s="5">
        <f>ifna(VLOOKUP(A43,'Spotify company'!A:F,6,0),"")</f>
        <v>665.14</v>
      </c>
      <c r="C43" s="15">
        <f>ifna(VLOOKUP(A43,'YG Entertainment'!A42:G99,6,0),"")</f>
        <v>81000</v>
      </c>
      <c r="D43" s="25">
        <f t="shared" ref="D43:E43" si="59">ifna(B43/B44-1,"")</f>
        <v>0.01731363372</v>
      </c>
      <c r="E43" s="25">
        <f t="shared" si="59"/>
        <v>0.02661596958</v>
      </c>
    </row>
    <row r="44">
      <c r="A44" s="4">
        <v>45796.0</v>
      </c>
      <c r="B44" s="5">
        <f>ifna(VLOOKUP(A44,'Spotify company'!A:F,6,0),"")</f>
        <v>653.82</v>
      </c>
      <c r="C44" s="15">
        <f>ifna(VLOOKUP(A44,'YG Entertainment'!A43:G100,6,0),"")</f>
        <v>78900</v>
      </c>
      <c r="D44" s="25">
        <f t="shared" ref="D44:E44" si="60">ifna(B44/B45-1,"")</f>
        <v>-0.003778759714</v>
      </c>
      <c r="E44" s="25">
        <f t="shared" si="60"/>
        <v>0.05906040268</v>
      </c>
    </row>
    <row r="45">
      <c r="A45" s="4">
        <v>45789.0</v>
      </c>
      <c r="B45" s="5">
        <f>ifna(VLOOKUP(A45,'Spotify company'!A:F,6,0),"")</f>
        <v>656.3</v>
      </c>
      <c r="C45" s="15">
        <f>ifna(VLOOKUP(A45,'YG Entertainment'!A44:G101,6,0),"")</f>
        <v>74500</v>
      </c>
      <c r="D45" s="25">
        <f t="shared" ref="D45:E45" si="61">ifna(B45/B46-1,"")</f>
        <v>0.01241804859</v>
      </c>
      <c r="E45" s="25">
        <f t="shared" si="61"/>
        <v>0.001344086022</v>
      </c>
    </row>
    <row r="46">
      <c r="A46" s="4">
        <v>45782.0</v>
      </c>
      <c r="B46" s="5">
        <f>ifna(VLOOKUP(A46,'Spotify company'!A:F,6,0),"")</f>
        <v>648.25</v>
      </c>
      <c r="C46" s="15">
        <f>ifna(VLOOKUP(A46,'YG Entertainment'!A45:G102,6,0),"")</f>
        <v>74400</v>
      </c>
      <c r="D46" s="25">
        <f t="shared" ref="D46:E46" si="62">ifna(B46/B47-1,"")</f>
        <v>0.006599378882</v>
      </c>
      <c r="E46" s="25">
        <f t="shared" si="62"/>
        <v>0.09896602659</v>
      </c>
    </row>
    <row r="47">
      <c r="A47" s="4">
        <v>45775.0</v>
      </c>
      <c r="B47" s="5">
        <f>ifna(VLOOKUP(A47,'Spotify company'!A:F,6,0),"")</f>
        <v>644</v>
      </c>
      <c r="C47" s="15">
        <f>ifna(VLOOKUP(A47,'YG Entertainment'!A46:G103,6,0),"")</f>
        <v>67700</v>
      </c>
      <c r="D47" s="25">
        <f t="shared" ref="D47:E47" si="63">ifna(B47/B48-1,"")</f>
        <v>0.0375048331</v>
      </c>
      <c r="E47" s="25">
        <f t="shared" si="63"/>
        <v>0.06614173228</v>
      </c>
    </row>
    <row r="48">
      <c r="A48" s="4">
        <v>45768.0</v>
      </c>
      <c r="B48" s="5">
        <f>ifna(VLOOKUP(A48,'Spotify company'!A:F,6,0),"")</f>
        <v>620.72</v>
      </c>
      <c r="C48" s="15">
        <f>ifna(VLOOKUP(A48,'YG Entertainment'!A47:G104,6,0),"")</f>
        <v>63500</v>
      </c>
      <c r="D48" s="25">
        <f t="shared" ref="D48:E48" si="64">ifna(B48/B49-1,"")</f>
        <v>0.08092294297</v>
      </c>
      <c r="E48" s="25">
        <f t="shared" si="64"/>
        <v>-0.0494011976</v>
      </c>
    </row>
    <row r="49">
      <c r="A49" s="4">
        <v>45761.0</v>
      </c>
      <c r="B49" s="5">
        <f>ifna(VLOOKUP(A49,'Spotify company'!A:F,6,0),"")</f>
        <v>574.25</v>
      </c>
      <c r="C49" s="15">
        <f>ifna(VLOOKUP(A49,'YG Entertainment'!A48:G105,6,0),"")</f>
        <v>66800</v>
      </c>
      <c r="D49" s="25">
        <f t="shared" ref="D49:E49" si="65">ifna(B49/B50-1,"")</f>
        <v>0.05626678439</v>
      </c>
      <c r="E49" s="25">
        <f t="shared" si="65"/>
        <v>0.1004942339</v>
      </c>
    </row>
    <row r="50">
      <c r="A50" s="4">
        <v>45754.0</v>
      </c>
      <c r="B50" s="5">
        <f>ifna(VLOOKUP(A50,'Spotify company'!A:F,6,0),"")</f>
        <v>543.66</v>
      </c>
      <c r="C50" s="15">
        <f>ifna(VLOOKUP(A50,'YG Entertainment'!A49:G106,6,0),"")</f>
        <v>60700</v>
      </c>
      <c r="D50" s="25">
        <f t="shared" ref="D50:E50" si="66">ifna(B50/B51-1,"")</f>
        <v>0.08019074111</v>
      </c>
      <c r="E50" s="25">
        <f t="shared" si="66"/>
        <v>-0.04107424961</v>
      </c>
    </row>
    <row r="51">
      <c r="A51" s="4">
        <v>45747.0</v>
      </c>
      <c r="B51" s="5">
        <f>ifna(VLOOKUP(A51,'Spotify company'!A:F,6,0),"")</f>
        <v>503.3</v>
      </c>
      <c r="C51" s="15">
        <f>ifna(VLOOKUP(A51,'YG Entertainment'!A50:G107,6,0),"")</f>
        <v>63300</v>
      </c>
      <c r="D51" s="25">
        <f t="shared" ref="D51:E51" si="67">ifna(B51/B52-1,"")</f>
        <v>-0.103107848</v>
      </c>
      <c r="E51" s="25">
        <f t="shared" si="67"/>
        <v>-0.003149606299</v>
      </c>
    </row>
    <row r="52">
      <c r="A52" s="4">
        <v>45740.0</v>
      </c>
      <c r="B52" s="5">
        <f>ifna(VLOOKUP(A52,'Spotify company'!A:F,6,0),"")</f>
        <v>561.16</v>
      </c>
      <c r="C52" s="15">
        <f>ifna(VLOOKUP(A52,'YG Entertainment'!A51:G108,6,0),"")</f>
        <v>63500</v>
      </c>
      <c r="D52" s="25">
        <f t="shared" ref="D52:E52" si="68">ifna(B52/B53-1,"")</f>
        <v>-0.06463979731</v>
      </c>
      <c r="E52" s="25">
        <f t="shared" si="68"/>
        <v>0.0325203252</v>
      </c>
    </row>
    <row r="53">
      <c r="A53" s="4">
        <v>45733.0</v>
      </c>
      <c r="B53" s="5">
        <f>ifna(VLOOKUP(A53,'Spotify company'!A:F,6,0),"")</f>
        <v>599.94</v>
      </c>
      <c r="C53" s="15">
        <f>ifna(VLOOKUP(A53,'YG Entertainment'!A52:G109,6,0),"")</f>
        <v>61500</v>
      </c>
      <c r="D53" s="25">
        <f t="shared" ref="D53:E53" si="69">ifna(B53/B54-1,"")</f>
        <v>0.04375511056</v>
      </c>
      <c r="E53" s="25">
        <f t="shared" si="69"/>
        <v>0.003262642741</v>
      </c>
    </row>
    <row r="54">
      <c r="A54" s="4">
        <v>45726.0</v>
      </c>
      <c r="B54" s="5">
        <f>ifna(VLOOKUP(A54,'Spotify company'!A:F,6,0),"")</f>
        <v>574.79</v>
      </c>
      <c r="C54" s="15">
        <f>ifna(VLOOKUP(A54,'YG Entertainment'!A53:G110,6,0),"")</f>
        <v>61300</v>
      </c>
      <c r="D54" s="25">
        <f t="shared" ref="D54:E54" si="70">ifna(B54/B55-1,"")</f>
        <v>0.08022928021</v>
      </c>
      <c r="E54" s="25">
        <f t="shared" si="70"/>
        <v>-0.0192</v>
      </c>
    </row>
    <row r="55">
      <c r="A55" s="4">
        <v>45719.0</v>
      </c>
      <c r="B55" s="5">
        <f>ifna(VLOOKUP(A55,'Spotify company'!A:F,6,0),"")</f>
        <v>532.1</v>
      </c>
      <c r="C55" s="15">
        <f>ifna(VLOOKUP(A55,'YG Entertainment'!A54:G111,6,0),"")</f>
        <v>62500</v>
      </c>
      <c r="D55" s="25"/>
      <c r="E55" s="25"/>
    </row>
    <row r="56">
      <c r="A56" s="10"/>
      <c r="C56" s="15" t="str">
        <f>ifna(VLOOKUP(A56,'YG Entertainment'!A55:G112,6,0),"")</f>
        <v/>
      </c>
      <c r="D56" s="25"/>
      <c r="E56" s="25"/>
    </row>
    <row r="57">
      <c r="A57" s="13"/>
      <c r="C57" s="15" t="str">
        <f>ifna(VLOOKUP(A57,'YG Entertainment'!A56:G113,6,0),"")</f>
        <v/>
      </c>
      <c r="D57" s="25"/>
      <c r="E57" s="25"/>
    </row>
    <row r="58">
      <c r="A58" s="13"/>
      <c r="D58" s="25"/>
      <c r="E58" s="25"/>
    </row>
    <row r="59">
      <c r="A59" s="13"/>
      <c r="D59" s="25"/>
      <c r="E59" s="25"/>
    </row>
    <row r="60">
      <c r="A60" s="13"/>
      <c r="D60" s="25"/>
      <c r="E60" s="25"/>
    </row>
    <row r="61">
      <c r="A61" s="13"/>
      <c r="D61" s="25"/>
      <c r="E61" s="25"/>
    </row>
    <row r="62">
      <c r="A62" s="13"/>
      <c r="D62" s="25"/>
      <c r="E62" s="25"/>
    </row>
    <row r="63">
      <c r="A63" s="13"/>
      <c r="D63" s="25"/>
      <c r="E63" s="25"/>
    </row>
    <row r="64">
      <c r="A64" s="13"/>
      <c r="D64" s="25"/>
      <c r="E64" s="25"/>
    </row>
    <row r="65">
      <c r="A65" s="13"/>
      <c r="D65" s="25"/>
      <c r="E65" s="25"/>
    </row>
    <row r="66">
      <c r="A66" s="13"/>
      <c r="D66" s="25"/>
      <c r="E66" s="25"/>
    </row>
    <row r="67">
      <c r="A67" s="13"/>
      <c r="D67" s="25"/>
      <c r="E67" s="25"/>
    </row>
    <row r="68">
      <c r="A68" s="13"/>
      <c r="D68" s="25"/>
      <c r="E68" s="25"/>
    </row>
    <row r="69">
      <c r="A69" s="13"/>
      <c r="D69" s="25"/>
      <c r="E69" s="25"/>
    </row>
    <row r="70">
      <c r="A70" s="13"/>
      <c r="D70" s="25"/>
      <c r="E70" s="25"/>
    </row>
    <row r="71">
      <c r="A71" s="13"/>
      <c r="D71" s="25"/>
      <c r="E71" s="25"/>
    </row>
    <row r="72">
      <c r="A72" s="13"/>
      <c r="D72" s="25"/>
      <c r="E72" s="25"/>
    </row>
    <row r="73">
      <c r="A73" s="13"/>
      <c r="D73" s="25"/>
      <c r="E73" s="25"/>
    </row>
    <row r="74">
      <c r="A74" s="13"/>
      <c r="D74" s="25"/>
      <c r="E74" s="25"/>
    </row>
    <row r="75">
      <c r="A75" s="13"/>
      <c r="D75" s="25"/>
      <c r="E75" s="25"/>
    </row>
    <row r="76">
      <c r="A76" s="13"/>
      <c r="D76" s="25"/>
      <c r="E76" s="25"/>
    </row>
    <row r="77">
      <c r="A77" s="13"/>
      <c r="D77" s="25"/>
      <c r="E77" s="25"/>
    </row>
    <row r="78">
      <c r="A78" s="13"/>
      <c r="D78" s="25"/>
      <c r="E78" s="25"/>
    </row>
    <row r="79">
      <c r="A79" s="13"/>
      <c r="D79" s="25"/>
      <c r="E79" s="25"/>
    </row>
    <row r="80">
      <c r="A80" s="13"/>
      <c r="D80" s="25"/>
      <c r="E80" s="25"/>
    </row>
    <row r="81">
      <c r="A81" s="13"/>
      <c r="D81" s="25"/>
      <c r="E81" s="25"/>
    </row>
    <row r="82">
      <c r="A82" s="13"/>
      <c r="D82" s="25"/>
      <c r="E82" s="25"/>
    </row>
    <row r="83">
      <c r="A83" s="13"/>
      <c r="D83" s="25"/>
      <c r="E83" s="25"/>
    </row>
    <row r="84">
      <c r="A84" s="13"/>
      <c r="D84" s="25"/>
      <c r="E84" s="25"/>
    </row>
    <row r="85">
      <c r="A85" s="13"/>
      <c r="D85" s="25"/>
      <c r="E85" s="25"/>
    </row>
    <row r="86">
      <c r="A86" s="13"/>
      <c r="D86" s="25"/>
      <c r="E86" s="25"/>
    </row>
    <row r="87">
      <c r="A87" s="13"/>
      <c r="D87" s="25"/>
      <c r="E87" s="25"/>
    </row>
    <row r="88">
      <c r="A88" s="13"/>
      <c r="D88" s="25"/>
      <c r="E88" s="25"/>
    </row>
    <row r="89">
      <c r="A89" s="13"/>
      <c r="D89" s="25"/>
      <c r="E89" s="25"/>
    </row>
    <row r="90">
      <c r="A90" s="13"/>
      <c r="D90" s="25"/>
      <c r="E90" s="25"/>
    </row>
    <row r="91">
      <c r="A91" s="13"/>
      <c r="D91" s="25"/>
      <c r="E91" s="25"/>
    </row>
    <row r="92">
      <c r="A92" s="13"/>
      <c r="D92" s="25"/>
      <c r="E92" s="25"/>
    </row>
    <row r="93">
      <c r="A93" s="13"/>
      <c r="D93" s="25"/>
      <c r="E93" s="25"/>
    </row>
    <row r="94">
      <c r="A94" s="13"/>
      <c r="D94" s="25"/>
      <c r="E94" s="25"/>
    </row>
    <row r="95">
      <c r="A95" s="13"/>
      <c r="D95" s="25"/>
      <c r="E95" s="25"/>
    </row>
    <row r="96">
      <c r="A96" s="13"/>
      <c r="D96" s="25"/>
      <c r="E96" s="25"/>
    </row>
    <row r="97">
      <c r="A97" s="13"/>
      <c r="D97" s="25"/>
      <c r="E97" s="25"/>
    </row>
    <row r="98">
      <c r="A98" s="13"/>
      <c r="D98" s="25"/>
      <c r="E98" s="25"/>
    </row>
    <row r="99">
      <c r="A99" s="13"/>
      <c r="D99" s="25"/>
      <c r="E99" s="25"/>
    </row>
    <row r="100">
      <c r="A100" s="13"/>
      <c r="D100" s="25"/>
      <c r="E100" s="25"/>
    </row>
    <row r="101">
      <c r="A101" s="13"/>
      <c r="D101" s="25"/>
      <c r="E101" s="25"/>
    </row>
    <row r="102">
      <c r="A102" s="13"/>
      <c r="D102" s="25"/>
      <c r="E102" s="25"/>
    </row>
    <row r="103">
      <c r="A103" s="13"/>
      <c r="D103" s="25"/>
      <c r="E103" s="25"/>
    </row>
    <row r="104">
      <c r="A104" s="13"/>
      <c r="D104" s="25"/>
      <c r="E104" s="25"/>
    </row>
    <row r="105">
      <c r="A105" s="13"/>
      <c r="D105" s="25"/>
      <c r="E105" s="25"/>
    </row>
    <row r="106">
      <c r="A106" s="13"/>
      <c r="D106" s="25"/>
      <c r="E106" s="25"/>
    </row>
    <row r="107">
      <c r="A107" s="13"/>
      <c r="D107" s="25"/>
      <c r="E107" s="25"/>
    </row>
    <row r="108">
      <c r="A108" s="13"/>
      <c r="D108" s="25"/>
      <c r="E108" s="25"/>
    </row>
    <row r="109">
      <c r="A109" s="13"/>
      <c r="D109" s="25"/>
      <c r="E109" s="25"/>
    </row>
    <row r="110">
      <c r="A110" s="13"/>
      <c r="D110" s="25"/>
      <c r="E110" s="25"/>
    </row>
    <row r="111">
      <c r="A111" s="13"/>
      <c r="D111" s="25"/>
      <c r="E111" s="25"/>
    </row>
    <row r="112">
      <c r="A112" s="13"/>
      <c r="D112" s="25"/>
      <c r="E112" s="25"/>
    </row>
    <row r="113">
      <c r="A113" s="13"/>
      <c r="D113" s="25"/>
      <c r="E113" s="25"/>
    </row>
    <row r="114">
      <c r="A114" s="13"/>
      <c r="D114" s="25"/>
      <c r="E114" s="25"/>
    </row>
    <row r="115">
      <c r="A115" s="13"/>
      <c r="D115" s="25"/>
      <c r="E115" s="25"/>
    </row>
    <row r="116">
      <c r="A116" s="13"/>
      <c r="D116" s="25"/>
      <c r="E116" s="25"/>
    </row>
    <row r="117">
      <c r="A117" s="13"/>
      <c r="D117" s="25"/>
      <c r="E117" s="25"/>
    </row>
    <row r="118">
      <c r="A118" s="13"/>
      <c r="D118" s="25"/>
      <c r="E118" s="25"/>
    </row>
    <row r="119">
      <c r="A119" s="13"/>
      <c r="D119" s="25"/>
      <c r="E119" s="25"/>
    </row>
    <row r="120">
      <c r="A120" s="13"/>
      <c r="D120" s="25"/>
      <c r="E120" s="25"/>
    </row>
    <row r="121">
      <c r="A121" s="13"/>
      <c r="D121" s="25"/>
      <c r="E121" s="25"/>
    </row>
    <row r="122">
      <c r="A122" s="13"/>
      <c r="D122" s="25"/>
      <c r="E122" s="25"/>
    </row>
    <row r="123">
      <c r="A123" s="13"/>
      <c r="D123" s="25"/>
      <c r="E123" s="25"/>
    </row>
    <row r="124">
      <c r="A124" s="13"/>
      <c r="D124" s="25"/>
      <c r="E124" s="25"/>
    </row>
    <row r="125">
      <c r="A125" s="13"/>
      <c r="D125" s="25"/>
      <c r="E125" s="25"/>
    </row>
    <row r="126">
      <c r="A126" s="13"/>
      <c r="D126" s="25"/>
      <c r="E126" s="25"/>
    </row>
    <row r="127">
      <c r="A127" s="13"/>
      <c r="D127" s="25"/>
      <c r="E127" s="25"/>
    </row>
    <row r="128">
      <c r="A128" s="13"/>
      <c r="D128" s="25"/>
      <c r="E128" s="25"/>
    </row>
    <row r="129">
      <c r="A129" s="13"/>
      <c r="D129" s="25"/>
      <c r="E129" s="25"/>
    </row>
    <row r="130">
      <c r="A130" s="13"/>
      <c r="D130" s="25"/>
      <c r="E130" s="25"/>
    </row>
    <row r="131">
      <c r="A131" s="13"/>
      <c r="D131" s="25"/>
      <c r="E131" s="25"/>
    </row>
    <row r="132">
      <c r="A132" s="13"/>
      <c r="D132" s="25"/>
      <c r="E132" s="25"/>
    </row>
    <row r="133">
      <c r="A133" s="13"/>
      <c r="D133" s="25"/>
      <c r="E133" s="25"/>
    </row>
    <row r="134">
      <c r="A134" s="13"/>
      <c r="D134" s="25"/>
      <c r="E134" s="25"/>
    </row>
    <row r="135">
      <c r="A135" s="13"/>
      <c r="D135" s="25"/>
      <c r="E135" s="25"/>
    </row>
    <row r="136">
      <c r="A136" s="13"/>
      <c r="D136" s="25"/>
      <c r="E136" s="25"/>
    </row>
    <row r="137">
      <c r="A137" s="13"/>
      <c r="D137" s="25"/>
      <c r="E137" s="25"/>
    </row>
    <row r="138">
      <c r="A138" s="13"/>
      <c r="D138" s="25"/>
      <c r="E138" s="25"/>
    </row>
    <row r="139">
      <c r="A139" s="13"/>
      <c r="D139" s="25"/>
      <c r="E139" s="25"/>
    </row>
    <row r="140">
      <c r="A140" s="13"/>
      <c r="D140" s="25"/>
      <c r="E140" s="25"/>
    </row>
    <row r="141">
      <c r="A141" s="13"/>
      <c r="D141" s="25"/>
      <c r="E141" s="25"/>
    </row>
    <row r="142">
      <c r="A142" s="13"/>
      <c r="D142" s="25"/>
      <c r="E142" s="25"/>
    </row>
    <row r="143">
      <c r="A143" s="13"/>
      <c r="D143" s="25"/>
      <c r="E143" s="25"/>
    </row>
    <row r="144">
      <c r="A144" s="13"/>
      <c r="D144" s="25"/>
      <c r="E144" s="25"/>
    </row>
    <row r="145">
      <c r="A145" s="13"/>
      <c r="D145" s="25"/>
      <c r="E145" s="25"/>
    </row>
    <row r="146">
      <c r="A146" s="13"/>
      <c r="D146" s="25"/>
      <c r="E146" s="25"/>
    </row>
    <row r="147">
      <c r="A147" s="13"/>
      <c r="D147" s="25"/>
      <c r="E147" s="25"/>
    </row>
    <row r="148">
      <c r="A148" s="13"/>
      <c r="D148" s="25"/>
      <c r="E148" s="25"/>
    </row>
    <row r="149">
      <c r="A149" s="13"/>
      <c r="D149" s="25"/>
      <c r="E149" s="25"/>
    </row>
    <row r="150">
      <c r="A150" s="13"/>
      <c r="D150" s="25"/>
      <c r="E150" s="25"/>
    </row>
    <row r="151">
      <c r="A151" s="13"/>
      <c r="D151" s="25"/>
      <c r="E151" s="25"/>
    </row>
    <row r="152">
      <c r="A152" s="13"/>
      <c r="D152" s="25"/>
      <c r="E152" s="25"/>
    </row>
    <row r="153">
      <c r="A153" s="13"/>
      <c r="D153" s="25"/>
      <c r="E153" s="25"/>
    </row>
    <row r="154">
      <c r="A154" s="13"/>
      <c r="D154" s="25"/>
      <c r="E154" s="25"/>
    </row>
    <row r="155">
      <c r="A155" s="13"/>
      <c r="D155" s="25"/>
      <c r="E155" s="25"/>
    </row>
    <row r="156">
      <c r="A156" s="13"/>
      <c r="D156" s="25"/>
      <c r="E156" s="25"/>
    </row>
    <row r="157">
      <c r="A157" s="13"/>
      <c r="D157" s="25"/>
      <c r="E157" s="25"/>
    </row>
    <row r="158">
      <c r="A158" s="13"/>
      <c r="D158" s="25"/>
      <c r="E158" s="25"/>
    </row>
    <row r="159">
      <c r="A159" s="13"/>
      <c r="D159" s="25"/>
      <c r="E159" s="25"/>
    </row>
    <row r="160">
      <c r="A160" s="13"/>
      <c r="D160" s="25"/>
      <c r="E160" s="25"/>
    </row>
    <row r="161">
      <c r="A161" s="13"/>
      <c r="D161" s="25"/>
      <c r="E161" s="25"/>
    </row>
    <row r="162">
      <c r="A162" s="13"/>
      <c r="D162" s="25"/>
      <c r="E162" s="25"/>
    </row>
    <row r="163">
      <c r="A163" s="13"/>
      <c r="D163" s="25"/>
      <c r="E163" s="25"/>
    </row>
    <row r="164">
      <c r="A164" s="13"/>
      <c r="D164" s="25"/>
      <c r="E164" s="25"/>
    </row>
    <row r="165">
      <c r="A165" s="13"/>
      <c r="D165" s="25"/>
      <c r="E165" s="25"/>
    </row>
    <row r="166">
      <c r="A166" s="13"/>
      <c r="D166" s="25"/>
      <c r="E166" s="25"/>
    </row>
    <row r="167">
      <c r="A167" s="13"/>
      <c r="D167" s="25"/>
      <c r="E167" s="25"/>
    </row>
    <row r="168">
      <c r="A168" s="13"/>
      <c r="D168" s="25"/>
      <c r="E168" s="25"/>
    </row>
    <row r="169">
      <c r="A169" s="13"/>
      <c r="D169" s="25"/>
      <c r="E169" s="25"/>
    </row>
    <row r="170">
      <c r="A170" s="13"/>
      <c r="D170" s="25"/>
      <c r="E170" s="25"/>
    </row>
    <row r="171">
      <c r="A171" s="13"/>
      <c r="D171" s="25"/>
      <c r="E171" s="25"/>
    </row>
    <row r="172">
      <c r="A172" s="13"/>
      <c r="D172" s="25"/>
      <c r="E172" s="25"/>
    </row>
    <row r="173">
      <c r="A173" s="13"/>
      <c r="D173" s="25"/>
      <c r="E173" s="25"/>
    </row>
    <row r="174">
      <c r="A174" s="13"/>
      <c r="D174" s="25"/>
      <c r="E174" s="25"/>
    </row>
    <row r="175">
      <c r="A175" s="13"/>
      <c r="D175" s="25"/>
      <c r="E175" s="25"/>
    </row>
    <row r="176">
      <c r="A176" s="13"/>
      <c r="D176" s="25"/>
      <c r="E176" s="25"/>
    </row>
    <row r="177">
      <c r="A177" s="13"/>
      <c r="D177" s="25"/>
      <c r="E177" s="25"/>
    </row>
    <row r="178">
      <c r="A178" s="13"/>
      <c r="D178" s="25"/>
      <c r="E178" s="25"/>
    </row>
    <row r="179">
      <c r="A179" s="13"/>
      <c r="D179" s="25"/>
      <c r="E179" s="25"/>
    </row>
    <row r="180">
      <c r="A180" s="13"/>
      <c r="D180" s="25"/>
      <c r="E180" s="25"/>
    </row>
    <row r="181">
      <c r="A181" s="13"/>
      <c r="D181" s="25"/>
      <c r="E181" s="25"/>
    </row>
    <row r="182">
      <c r="A182" s="13"/>
      <c r="D182" s="25"/>
      <c r="E182" s="25"/>
    </row>
    <row r="183">
      <c r="A183" s="13"/>
      <c r="D183" s="25"/>
      <c r="E183" s="25"/>
    </row>
    <row r="184">
      <c r="A184" s="13"/>
      <c r="D184" s="25"/>
      <c r="E184" s="25"/>
    </row>
    <row r="185">
      <c r="A185" s="13"/>
      <c r="D185" s="25"/>
      <c r="E185" s="25"/>
    </row>
    <row r="186">
      <c r="A186" s="13"/>
      <c r="D186" s="25"/>
      <c r="E186" s="25"/>
    </row>
    <row r="187">
      <c r="A187" s="13"/>
      <c r="D187" s="25"/>
      <c r="E187" s="25"/>
    </row>
    <row r="188">
      <c r="A188" s="13"/>
      <c r="D188" s="25"/>
      <c r="E188" s="25"/>
    </row>
    <row r="189">
      <c r="A189" s="13"/>
      <c r="D189" s="25"/>
      <c r="E189" s="25"/>
    </row>
    <row r="190">
      <c r="A190" s="13"/>
      <c r="D190" s="25"/>
      <c r="E190" s="25"/>
    </row>
    <row r="191">
      <c r="A191" s="13"/>
      <c r="D191" s="25"/>
      <c r="E191" s="25"/>
    </row>
    <row r="192">
      <c r="A192" s="13"/>
      <c r="D192" s="25"/>
      <c r="E192" s="25"/>
    </row>
    <row r="193">
      <c r="A193" s="13"/>
      <c r="D193" s="25"/>
      <c r="E193" s="25"/>
    </row>
    <row r="194">
      <c r="A194" s="13"/>
      <c r="D194" s="25"/>
      <c r="E194" s="25"/>
    </row>
    <row r="195">
      <c r="A195" s="13"/>
      <c r="D195" s="25"/>
      <c r="E195" s="25"/>
    </row>
    <row r="196">
      <c r="A196" s="13"/>
      <c r="D196" s="25"/>
      <c r="E196" s="25"/>
    </row>
    <row r="197">
      <c r="A197" s="13"/>
      <c r="D197" s="25"/>
      <c r="E197" s="25"/>
    </row>
    <row r="198">
      <c r="A198" s="13"/>
      <c r="D198" s="25"/>
      <c r="E198" s="25"/>
    </row>
    <row r="199">
      <c r="A199" s="13"/>
      <c r="D199" s="25"/>
      <c r="E199" s="25"/>
    </row>
    <row r="200">
      <c r="A200" s="13"/>
      <c r="D200" s="25"/>
      <c r="E200" s="25"/>
    </row>
    <row r="201">
      <c r="A201" s="13"/>
      <c r="D201" s="25"/>
      <c r="E201" s="25"/>
    </row>
    <row r="202">
      <c r="A202" s="13"/>
      <c r="D202" s="25"/>
      <c r="E202" s="25"/>
    </row>
    <row r="203">
      <c r="A203" s="13"/>
      <c r="D203" s="25"/>
      <c r="E203" s="25"/>
    </row>
    <row r="204">
      <c r="A204" s="13"/>
      <c r="D204" s="25"/>
      <c r="E204" s="25"/>
    </row>
    <row r="205">
      <c r="A205" s="13"/>
      <c r="D205" s="25"/>
      <c r="E205" s="25"/>
    </row>
    <row r="206">
      <c r="A206" s="13"/>
      <c r="D206" s="25"/>
      <c r="E206" s="25"/>
    </row>
    <row r="207">
      <c r="A207" s="13"/>
      <c r="D207" s="25"/>
      <c r="E207" s="25"/>
    </row>
    <row r="208">
      <c r="A208" s="13"/>
      <c r="D208" s="25"/>
      <c r="E208" s="25"/>
    </row>
    <row r="209">
      <c r="A209" s="13"/>
      <c r="D209" s="25"/>
      <c r="E209" s="25"/>
    </row>
    <row r="210">
      <c r="A210" s="13"/>
      <c r="D210" s="25"/>
      <c r="E210" s="25"/>
    </row>
    <row r="211">
      <c r="A211" s="13"/>
      <c r="D211" s="25"/>
      <c r="E211" s="25"/>
    </row>
    <row r="212">
      <c r="A212" s="13"/>
      <c r="D212" s="25"/>
      <c r="E212" s="25"/>
    </row>
    <row r="213">
      <c r="A213" s="13"/>
      <c r="D213" s="25"/>
      <c r="E213" s="25"/>
    </row>
    <row r="214">
      <c r="A214" s="13"/>
      <c r="D214" s="25"/>
      <c r="E214" s="25"/>
    </row>
    <row r="215">
      <c r="A215" s="13"/>
      <c r="D215" s="25"/>
      <c r="E215" s="25"/>
    </row>
    <row r="216">
      <c r="A216" s="13"/>
      <c r="D216" s="25"/>
      <c r="E216" s="25"/>
    </row>
    <row r="217">
      <c r="A217" s="13"/>
      <c r="D217" s="25"/>
      <c r="E217" s="25"/>
    </row>
    <row r="218">
      <c r="A218" s="13"/>
      <c r="D218" s="25"/>
      <c r="E218" s="25"/>
    </row>
    <row r="219">
      <c r="A219" s="13"/>
      <c r="D219" s="25"/>
      <c r="E219" s="25"/>
    </row>
    <row r="220">
      <c r="A220" s="13"/>
      <c r="D220" s="25"/>
      <c r="E220" s="25"/>
    </row>
    <row r="221">
      <c r="A221" s="13"/>
      <c r="D221" s="25"/>
      <c r="E221" s="25"/>
    </row>
    <row r="222">
      <c r="A222" s="13"/>
      <c r="D222" s="25"/>
      <c r="E222" s="25"/>
    </row>
    <row r="223">
      <c r="A223" s="13"/>
      <c r="D223" s="25"/>
      <c r="E223" s="25"/>
    </row>
    <row r="224">
      <c r="A224" s="13"/>
      <c r="D224" s="25"/>
      <c r="E224" s="25"/>
    </row>
    <row r="225">
      <c r="A225" s="13"/>
      <c r="D225" s="25"/>
      <c r="E225" s="25"/>
    </row>
    <row r="226">
      <c r="A226" s="13"/>
      <c r="D226" s="25"/>
      <c r="E226" s="25"/>
    </row>
    <row r="227">
      <c r="A227" s="13"/>
      <c r="D227" s="25"/>
      <c r="E227" s="25"/>
    </row>
    <row r="228">
      <c r="A228" s="13"/>
      <c r="D228" s="25"/>
      <c r="E228" s="25"/>
    </row>
    <row r="229">
      <c r="A229" s="13"/>
      <c r="D229" s="25"/>
      <c r="E229" s="25"/>
    </row>
    <row r="230">
      <c r="A230" s="13"/>
      <c r="D230" s="25"/>
      <c r="E230" s="25"/>
    </row>
    <row r="231">
      <c r="A231" s="13"/>
      <c r="D231" s="25"/>
      <c r="E231" s="25"/>
    </row>
    <row r="232">
      <c r="A232" s="13"/>
      <c r="D232" s="25"/>
      <c r="E232" s="25"/>
    </row>
    <row r="233">
      <c r="A233" s="13"/>
      <c r="D233" s="25"/>
      <c r="E233" s="25"/>
    </row>
    <row r="234">
      <c r="A234" s="13"/>
      <c r="D234" s="25"/>
      <c r="E234" s="25"/>
    </row>
    <row r="235">
      <c r="A235" s="13"/>
      <c r="D235" s="25"/>
      <c r="E235" s="25"/>
    </row>
    <row r="236">
      <c r="A236" s="13"/>
      <c r="D236" s="25"/>
      <c r="E236" s="25"/>
    </row>
    <row r="237">
      <c r="A237" s="13"/>
      <c r="D237" s="25"/>
      <c r="E237" s="25"/>
    </row>
    <row r="238">
      <c r="A238" s="13"/>
      <c r="D238" s="25"/>
      <c r="E238" s="25"/>
    </row>
    <row r="239">
      <c r="A239" s="13"/>
      <c r="D239" s="25"/>
      <c r="E239" s="25"/>
    </row>
    <row r="240">
      <c r="A240" s="13"/>
      <c r="D240" s="25"/>
      <c r="E240" s="25"/>
    </row>
    <row r="241">
      <c r="A241" s="13"/>
      <c r="D241" s="25"/>
      <c r="E241" s="25"/>
    </row>
    <row r="242">
      <c r="A242" s="13"/>
      <c r="D242" s="25"/>
      <c r="E242" s="25"/>
    </row>
    <row r="243">
      <c r="A243" s="13"/>
      <c r="D243" s="25"/>
      <c r="E243" s="25"/>
    </row>
    <row r="244">
      <c r="A244" s="13"/>
      <c r="D244" s="25"/>
      <c r="E244" s="25"/>
    </row>
    <row r="245">
      <c r="A245" s="13"/>
      <c r="D245" s="25"/>
      <c r="E245" s="25"/>
    </row>
    <row r="246">
      <c r="A246" s="13"/>
      <c r="D246" s="25"/>
      <c r="E246" s="25"/>
    </row>
    <row r="247">
      <c r="A247" s="13"/>
      <c r="D247" s="25"/>
      <c r="E247" s="25"/>
    </row>
    <row r="248">
      <c r="A248" s="13"/>
      <c r="D248" s="25"/>
      <c r="E248" s="25"/>
    </row>
    <row r="249">
      <c r="A249" s="13"/>
      <c r="D249" s="25"/>
      <c r="E249" s="25"/>
    </row>
    <row r="250">
      <c r="A250" s="13"/>
      <c r="D250" s="25"/>
      <c r="E250" s="25"/>
    </row>
    <row r="251">
      <c r="A251" s="13"/>
      <c r="D251" s="25"/>
      <c r="E251" s="25"/>
    </row>
    <row r="252">
      <c r="A252" s="13"/>
      <c r="D252" s="25"/>
      <c r="E252" s="25"/>
    </row>
    <row r="253">
      <c r="A253" s="13"/>
      <c r="D253" s="25"/>
      <c r="E253" s="25"/>
    </row>
    <row r="254">
      <c r="A254" s="13"/>
      <c r="D254" s="25"/>
      <c r="E254" s="25"/>
    </row>
    <row r="255">
      <c r="A255" s="13"/>
      <c r="D255" s="25"/>
      <c r="E255" s="25"/>
    </row>
    <row r="256">
      <c r="A256" s="13"/>
      <c r="D256" s="25"/>
      <c r="E256" s="25"/>
    </row>
    <row r="257">
      <c r="A257" s="13"/>
      <c r="D257" s="25"/>
      <c r="E257" s="25"/>
    </row>
    <row r="258">
      <c r="A258" s="13"/>
      <c r="D258" s="25"/>
      <c r="E258" s="25"/>
    </row>
    <row r="259">
      <c r="A259" s="13"/>
      <c r="D259" s="25"/>
      <c r="E259" s="25"/>
    </row>
    <row r="260">
      <c r="A260" s="13"/>
      <c r="D260" s="25"/>
      <c r="E260" s="25"/>
    </row>
    <row r="261">
      <c r="A261" s="13"/>
      <c r="D261" s="25"/>
      <c r="E261" s="25"/>
    </row>
    <row r="262">
      <c r="A262" s="13"/>
      <c r="D262" s="25"/>
      <c r="E262" s="25"/>
    </row>
    <row r="263">
      <c r="A263" s="13"/>
      <c r="D263" s="25"/>
      <c r="E263" s="25"/>
    </row>
    <row r="264">
      <c r="A264" s="13"/>
      <c r="D264" s="25"/>
      <c r="E264" s="25"/>
    </row>
    <row r="265">
      <c r="A265" s="13"/>
      <c r="D265" s="25"/>
      <c r="E265" s="25"/>
    </row>
    <row r="266">
      <c r="A266" s="13"/>
      <c r="D266" s="25"/>
      <c r="E266" s="25"/>
    </row>
    <row r="267">
      <c r="A267" s="13"/>
      <c r="D267" s="25"/>
      <c r="E267" s="25"/>
    </row>
    <row r="268">
      <c r="A268" s="13"/>
      <c r="D268" s="25"/>
      <c r="E268" s="25"/>
    </row>
    <row r="269">
      <c r="A269" s="13"/>
      <c r="D269" s="25"/>
      <c r="E269" s="25"/>
    </row>
    <row r="270">
      <c r="A270" s="13"/>
      <c r="D270" s="25"/>
      <c r="E270" s="25"/>
    </row>
    <row r="271">
      <c r="A271" s="13"/>
      <c r="D271" s="25"/>
      <c r="E271" s="25"/>
    </row>
    <row r="272">
      <c r="A272" s="13"/>
      <c r="D272" s="25"/>
      <c r="E272" s="25"/>
    </row>
    <row r="273">
      <c r="A273" s="13"/>
      <c r="D273" s="25"/>
      <c r="E273" s="25"/>
    </row>
    <row r="274">
      <c r="A274" s="13"/>
      <c r="D274" s="25"/>
      <c r="E274" s="25"/>
    </row>
    <row r="275">
      <c r="A275" s="13"/>
      <c r="D275" s="25"/>
      <c r="E275" s="25"/>
    </row>
    <row r="276">
      <c r="A276" s="13"/>
      <c r="D276" s="25"/>
      <c r="E276" s="25"/>
    </row>
    <row r="277">
      <c r="A277" s="13"/>
      <c r="D277" s="25"/>
      <c r="E277" s="25"/>
    </row>
    <row r="278">
      <c r="A278" s="13"/>
      <c r="D278" s="25"/>
      <c r="E278" s="25"/>
    </row>
    <row r="279">
      <c r="A279" s="13"/>
      <c r="D279" s="25"/>
      <c r="E279" s="25"/>
    </row>
    <row r="280">
      <c r="A280" s="13"/>
      <c r="D280" s="25"/>
      <c r="E280" s="25"/>
    </row>
    <row r="281">
      <c r="A281" s="13"/>
      <c r="D281" s="25"/>
      <c r="E281" s="25"/>
    </row>
    <row r="282">
      <c r="A282" s="13"/>
      <c r="D282" s="25"/>
      <c r="E282" s="25"/>
    </row>
    <row r="283">
      <c r="A283" s="13"/>
      <c r="D283" s="25"/>
      <c r="E283" s="25"/>
    </row>
    <row r="284">
      <c r="A284" s="13"/>
      <c r="D284" s="25"/>
      <c r="E284" s="25"/>
    </row>
    <row r="285">
      <c r="A285" s="13"/>
      <c r="D285" s="25"/>
      <c r="E285" s="25"/>
    </row>
    <row r="286">
      <c r="A286" s="13"/>
      <c r="D286" s="25"/>
      <c r="E286" s="25"/>
    </row>
    <row r="287">
      <c r="A287" s="13"/>
      <c r="D287" s="25"/>
      <c r="E287" s="25"/>
    </row>
    <row r="288">
      <c r="A288" s="13"/>
      <c r="D288" s="25"/>
      <c r="E288" s="25"/>
    </row>
    <row r="289">
      <c r="A289" s="13"/>
      <c r="D289" s="25"/>
      <c r="E289" s="25"/>
    </row>
    <row r="290">
      <c r="A290" s="13"/>
      <c r="D290" s="25"/>
      <c r="E290" s="25"/>
    </row>
    <row r="291">
      <c r="A291" s="13"/>
      <c r="D291" s="25"/>
      <c r="E291" s="25"/>
    </row>
    <row r="292">
      <c r="A292" s="13"/>
      <c r="D292" s="25"/>
      <c r="E292" s="25"/>
    </row>
    <row r="293">
      <c r="A293" s="13"/>
      <c r="D293" s="25"/>
      <c r="E293" s="25"/>
    </row>
    <row r="294">
      <c r="A294" s="13"/>
      <c r="D294" s="25"/>
      <c r="E294" s="25"/>
    </row>
    <row r="295">
      <c r="A295" s="13"/>
      <c r="D295" s="25"/>
      <c r="E295" s="25"/>
    </row>
    <row r="296">
      <c r="A296" s="13"/>
      <c r="D296" s="25"/>
      <c r="E296" s="25"/>
    </row>
    <row r="297">
      <c r="A297" s="13"/>
      <c r="D297" s="25"/>
      <c r="E297" s="25"/>
    </row>
    <row r="298">
      <c r="A298" s="13"/>
      <c r="D298" s="25"/>
      <c r="E298" s="25"/>
    </row>
    <row r="299">
      <c r="A299" s="13"/>
      <c r="D299" s="25"/>
      <c r="E299" s="25"/>
    </row>
    <row r="300">
      <c r="A300" s="13"/>
      <c r="D300" s="25"/>
      <c r="E300" s="25"/>
    </row>
    <row r="301">
      <c r="A301" s="13"/>
      <c r="D301" s="25"/>
      <c r="E301" s="25"/>
    </row>
    <row r="302">
      <c r="A302" s="13"/>
      <c r="D302" s="25"/>
      <c r="E302" s="25"/>
    </row>
    <row r="303">
      <c r="A303" s="13"/>
      <c r="D303" s="25"/>
      <c r="E303" s="25"/>
    </row>
    <row r="304">
      <c r="A304" s="13"/>
      <c r="D304" s="25"/>
      <c r="E304" s="25"/>
    </row>
    <row r="305">
      <c r="A305" s="13"/>
      <c r="D305" s="25"/>
      <c r="E305" s="25"/>
    </row>
    <row r="306">
      <c r="A306" s="13"/>
      <c r="D306" s="25"/>
      <c r="E306" s="25"/>
    </row>
    <row r="307">
      <c r="A307" s="13"/>
      <c r="D307" s="25"/>
      <c r="E307" s="25"/>
    </row>
    <row r="308">
      <c r="A308" s="13"/>
      <c r="D308" s="25"/>
      <c r="E308" s="25"/>
    </row>
    <row r="309">
      <c r="A309" s="13"/>
      <c r="D309" s="25"/>
      <c r="E309" s="25"/>
    </row>
    <row r="310">
      <c r="A310" s="13"/>
      <c r="D310" s="25"/>
      <c r="E310" s="25"/>
    </row>
    <row r="311">
      <c r="A311" s="13"/>
      <c r="D311" s="25"/>
      <c r="E311" s="25"/>
    </row>
    <row r="312">
      <c r="A312" s="13"/>
      <c r="D312" s="25"/>
      <c r="E312" s="25"/>
    </row>
    <row r="313">
      <c r="A313" s="13"/>
      <c r="D313" s="25"/>
      <c r="E313" s="25"/>
    </row>
    <row r="314">
      <c r="A314" s="13"/>
      <c r="D314" s="25"/>
      <c r="E314" s="25"/>
    </row>
    <row r="315">
      <c r="A315" s="13"/>
      <c r="D315" s="25"/>
      <c r="E315" s="25"/>
    </row>
    <row r="316">
      <c r="A316" s="13"/>
      <c r="D316" s="25"/>
      <c r="E316" s="25"/>
    </row>
    <row r="317">
      <c r="A317" s="13"/>
      <c r="D317" s="25"/>
      <c r="E317" s="25"/>
    </row>
    <row r="318">
      <c r="A318" s="13"/>
      <c r="D318" s="25"/>
      <c r="E318" s="25"/>
    </row>
    <row r="319">
      <c r="A319" s="13"/>
      <c r="D319" s="25"/>
      <c r="E319" s="25"/>
    </row>
    <row r="320">
      <c r="A320" s="13"/>
      <c r="D320" s="25"/>
      <c r="E320" s="25"/>
    </row>
    <row r="321">
      <c r="A321" s="13"/>
      <c r="D321" s="25"/>
      <c r="E321" s="25"/>
    </row>
    <row r="322">
      <c r="A322" s="13"/>
      <c r="D322" s="25"/>
      <c r="E322" s="25"/>
    </row>
    <row r="323">
      <c r="A323" s="13"/>
      <c r="D323" s="25"/>
      <c r="E323" s="25"/>
    </row>
    <row r="324">
      <c r="A324" s="13"/>
      <c r="D324" s="25"/>
      <c r="E324" s="25"/>
    </row>
    <row r="325">
      <c r="A325" s="13"/>
      <c r="D325" s="25"/>
      <c r="E325" s="25"/>
    </row>
    <row r="326">
      <c r="A326" s="13"/>
      <c r="D326" s="25"/>
      <c r="E326" s="25"/>
    </row>
    <row r="327">
      <c r="A327" s="13"/>
      <c r="D327" s="25"/>
      <c r="E327" s="25"/>
    </row>
    <row r="328">
      <c r="A328" s="13"/>
      <c r="D328" s="25"/>
      <c r="E328" s="25"/>
    </row>
    <row r="329">
      <c r="A329" s="13"/>
      <c r="D329" s="25"/>
      <c r="E329" s="25"/>
    </row>
    <row r="330">
      <c r="A330" s="13"/>
      <c r="D330" s="25"/>
      <c r="E330" s="25"/>
    </row>
    <row r="331">
      <c r="A331" s="13"/>
      <c r="D331" s="25"/>
      <c r="E331" s="25"/>
    </row>
    <row r="332">
      <c r="A332" s="13"/>
      <c r="D332" s="25"/>
      <c r="E332" s="25"/>
    </row>
    <row r="333">
      <c r="A333" s="13"/>
      <c r="D333" s="25"/>
      <c r="E333" s="25"/>
    </row>
    <row r="334">
      <c r="A334" s="13"/>
      <c r="D334" s="25"/>
      <c r="E334" s="25"/>
    </row>
    <row r="335">
      <c r="A335" s="13"/>
      <c r="D335" s="25"/>
      <c r="E335" s="25"/>
    </row>
    <row r="336">
      <c r="A336" s="13"/>
      <c r="D336" s="25"/>
      <c r="E336" s="25"/>
    </row>
    <row r="337">
      <c r="A337" s="13"/>
      <c r="D337" s="25"/>
      <c r="E337" s="25"/>
    </row>
    <row r="338">
      <c r="A338" s="13"/>
      <c r="D338" s="25"/>
      <c r="E338" s="25"/>
    </row>
    <row r="339">
      <c r="A339" s="13"/>
      <c r="D339" s="25"/>
      <c r="E339" s="25"/>
    </row>
    <row r="340">
      <c r="A340" s="13"/>
      <c r="D340" s="25"/>
      <c r="E340" s="25"/>
    </row>
    <row r="341">
      <c r="A341" s="13"/>
      <c r="D341" s="25"/>
      <c r="E341" s="25"/>
    </row>
    <row r="342">
      <c r="A342" s="13"/>
      <c r="D342" s="25"/>
      <c r="E342" s="25"/>
    </row>
    <row r="343">
      <c r="A343" s="13"/>
      <c r="D343" s="25"/>
      <c r="E343" s="25"/>
    </row>
    <row r="344">
      <c r="A344" s="13"/>
      <c r="D344" s="25"/>
      <c r="E344" s="25"/>
    </row>
    <row r="345">
      <c r="A345" s="13"/>
      <c r="D345" s="25"/>
      <c r="E345" s="25"/>
    </row>
    <row r="346">
      <c r="A346" s="13"/>
      <c r="D346" s="25"/>
      <c r="E346" s="25"/>
    </row>
    <row r="347">
      <c r="A347" s="13"/>
      <c r="D347" s="25"/>
      <c r="E347" s="25"/>
    </row>
    <row r="348">
      <c r="A348" s="13"/>
      <c r="D348" s="25"/>
      <c r="E348" s="25"/>
    </row>
    <row r="349">
      <c r="A349" s="13"/>
      <c r="D349" s="25"/>
      <c r="E349" s="25"/>
    </row>
    <row r="350">
      <c r="A350" s="13"/>
      <c r="D350" s="25"/>
      <c r="E350" s="25"/>
    </row>
    <row r="351">
      <c r="A351" s="13"/>
      <c r="D351" s="25"/>
      <c r="E351" s="25"/>
    </row>
    <row r="352">
      <c r="A352" s="13"/>
      <c r="D352" s="25"/>
      <c r="E352" s="25"/>
    </row>
    <row r="353">
      <c r="A353" s="13"/>
      <c r="D353" s="25"/>
      <c r="E353" s="25"/>
    </row>
    <row r="354">
      <c r="A354" s="13"/>
      <c r="D354" s="25"/>
      <c r="E354" s="25"/>
    </row>
    <row r="355">
      <c r="A355" s="13"/>
      <c r="D355" s="25"/>
      <c r="E355" s="25"/>
    </row>
    <row r="356">
      <c r="A356" s="13"/>
      <c r="D356" s="25"/>
      <c r="E356" s="25"/>
    </row>
    <row r="357">
      <c r="A357" s="13"/>
      <c r="D357" s="25"/>
      <c r="E357" s="25"/>
    </row>
    <row r="358">
      <c r="A358" s="13"/>
      <c r="D358" s="25"/>
      <c r="E358" s="25"/>
    </row>
    <row r="359">
      <c r="A359" s="13"/>
      <c r="D359" s="25"/>
      <c r="E359" s="25"/>
    </row>
    <row r="360">
      <c r="A360" s="13"/>
      <c r="D360" s="25"/>
      <c r="E360" s="25"/>
    </row>
    <row r="361">
      <c r="A361" s="13"/>
      <c r="D361" s="25"/>
      <c r="E361" s="25"/>
    </row>
    <row r="362">
      <c r="A362" s="13"/>
      <c r="D362" s="25"/>
      <c r="E362" s="25"/>
    </row>
    <row r="363">
      <c r="A363" s="13"/>
      <c r="D363" s="25"/>
      <c r="E363" s="25"/>
    </row>
    <row r="364">
      <c r="A364" s="13"/>
      <c r="D364" s="25"/>
      <c r="E364" s="25"/>
    </row>
    <row r="365">
      <c r="A365" s="13"/>
      <c r="D365" s="25"/>
      <c r="E365" s="25"/>
    </row>
    <row r="366">
      <c r="A366" s="13"/>
      <c r="D366" s="25"/>
      <c r="E366" s="25"/>
    </row>
    <row r="367">
      <c r="A367" s="13"/>
      <c r="D367" s="25"/>
      <c r="E367" s="25"/>
    </row>
    <row r="368">
      <c r="A368" s="13"/>
      <c r="D368" s="25"/>
      <c r="E368" s="25"/>
    </row>
    <row r="369">
      <c r="A369" s="13"/>
      <c r="D369" s="25"/>
      <c r="E369" s="25"/>
    </row>
    <row r="370">
      <c r="A370" s="13"/>
      <c r="D370" s="25"/>
      <c r="E370" s="25"/>
    </row>
    <row r="371">
      <c r="A371" s="13"/>
      <c r="D371" s="25"/>
      <c r="E371" s="25"/>
    </row>
    <row r="372">
      <c r="A372" s="13"/>
      <c r="D372" s="25"/>
      <c r="E372" s="25"/>
    </row>
    <row r="373">
      <c r="A373" s="13"/>
      <c r="D373" s="25"/>
      <c r="E373" s="25"/>
    </row>
    <row r="374">
      <c r="A374" s="13"/>
      <c r="D374" s="25"/>
      <c r="E374" s="25"/>
    </row>
    <row r="375">
      <c r="A375" s="13"/>
      <c r="D375" s="25"/>
      <c r="E375" s="25"/>
    </row>
    <row r="376">
      <c r="A376" s="13"/>
      <c r="D376" s="25"/>
      <c r="E376" s="25"/>
    </row>
    <row r="377">
      <c r="A377" s="13"/>
      <c r="D377" s="25"/>
      <c r="E377" s="25"/>
    </row>
    <row r="378">
      <c r="A378" s="13"/>
      <c r="D378" s="25"/>
      <c r="E378" s="25"/>
    </row>
    <row r="379">
      <c r="A379" s="13"/>
      <c r="D379" s="25"/>
      <c r="E379" s="25"/>
    </row>
    <row r="380">
      <c r="A380" s="13"/>
      <c r="D380" s="25"/>
      <c r="E380" s="25"/>
    </row>
    <row r="381">
      <c r="A381" s="13"/>
      <c r="D381" s="25"/>
      <c r="E381" s="25"/>
    </row>
    <row r="382">
      <c r="A382" s="13"/>
      <c r="D382" s="25"/>
      <c r="E382" s="25"/>
    </row>
    <row r="383">
      <c r="A383" s="13"/>
      <c r="D383" s="25"/>
      <c r="E383" s="25"/>
    </row>
    <row r="384">
      <c r="A384" s="13"/>
      <c r="D384" s="25"/>
      <c r="E384" s="25"/>
    </row>
    <row r="385">
      <c r="A385" s="13"/>
      <c r="D385" s="25"/>
      <c r="E385" s="25"/>
    </row>
    <row r="386">
      <c r="A386" s="13"/>
      <c r="D386" s="25"/>
      <c r="E386" s="25"/>
    </row>
    <row r="387">
      <c r="A387" s="13"/>
      <c r="D387" s="25"/>
      <c r="E387" s="25"/>
    </row>
    <row r="388">
      <c r="A388" s="13"/>
      <c r="D388" s="25"/>
      <c r="E388" s="25"/>
    </row>
    <row r="389">
      <c r="A389" s="13"/>
      <c r="D389" s="25"/>
      <c r="E389" s="25"/>
    </row>
    <row r="390">
      <c r="A390" s="13"/>
      <c r="D390" s="25"/>
      <c r="E390" s="25"/>
    </row>
    <row r="391">
      <c r="A391" s="13"/>
      <c r="D391" s="25"/>
      <c r="E391" s="25"/>
    </row>
    <row r="392">
      <c r="A392" s="13"/>
      <c r="D392" s="25"/>
      <c r="E392" s="25"/>
    </row>
    <row r="393">
      <c r="A393" s="13"/>
      <c r="D393" s="25"/>
      <c r="E393" s="25"/>
    </row>
    <row r="394">
      <c r="A394" s="13"/>
      <c r="D394" s="25"/>
      <c r="E394" s="25"/>
    </row>
    <row r="395">
      <c r="A395" s="13"/>
      <c r="D395" s="25"/>
      <c r="E395" s="25"/>
    </row>
    <row r="396">
      <c r="A396" s="13"/>
      <c r="D396" s="25"/>
      <c r="E396" s="25"/>
    </row>
    <row r="397">
      <c r="A397" s="13"/>
      <c r="D397" s="25"/>
      <c r="E397" s="25"/>
    </row>
    <row r="398">
      <c r="A398" s="13"/>
      <c r="D398" s="25"/>
      <c r="E398" s="25"/>
    </row>
    <row r="399">
      <c r="A399" s="13"/>
      <c r="D399" s="25"/>
      <c r="E399" s="25"/>
    </row>
    <row r="400">
      <c r="A400" s="13"/>
      <c r="D400" s="25"/>
      <c r="E400" s="25"/>
    </row>
    <row r="401">
      <c r="A401" s="13"/>
      <c r="D401" s="25"/>
      <c r="E401" s="25"/>
    </row>
    <row r="402">
      <c r="A402" s="13"/>
      <c r="D402" s="25"/>
      <c r="E402" s="25"/>
    </row>
    <row r="403">
      <c r="A403" s="13"/>
      <c r="D403" s="25"/>
      <c r="E403" s="25"/>
    </row>
    <row r="404">
      <c r="A404" s="13"/>
      <c r="D404" s="25"/>
      <c r="E404" s="25"/>
    </row>
    <row r="405">
      <c r="A405" s="13"/>
      <c r="D405" s="25"/>
      <c r="E405" s="25"/>
    </row>
    <row r="406">
      <c r="A406" s="13"/>
      <c r="D406" s="25"/>
      <c r="E406" s="25"/>
    </row>
    <row r="407">
      <c r="A407" s="13"/>
      <c r="D407" s="25"/>
      <c r="E407" s="25"/>
    </row>
    <row r="408">
      <c r="A408" s="13"/>
      <c r="D408" s="25"/>
      <c r="E408" s="25"/>
    </row>
    <row r="409">
      <c r="A409" s="13"/>
      <c r="D409" s="25"/>
      <c r="E409" s="25"/>
    </row>
    <row r="410">
      <c r="A410" s="13"/>
      <c r="D410" s="25"/>
      <c r="E410" s="25"/>
    </row>
    <row r="411">
      <c r="A411" s="13"/>
      <c r="D411" s="25"/>
      <c r="E411" s="25"/>
    </row>
    <row r="412">
      <c r="A412" s="13"/>
      <c r="D412" s="25"/>
      <c r="E412" s="25"/>
    </row>
    <row r="413">
      <c r="A413" s="13"/>
      <c r="D413" s="25"/>
      <c r="E413" s="25"/>
    </row>
    <row r="414">
      <c r="A414" s="13"/>
      <c r="D414" s="25"/>
      <c r="E414" s="25"/>
    </row>
    <row r="415">
      <c r="A415" s="13"/>
      <c r="D415" s="25"/>
      <c r="E415" s="25"/>
    </row>
    <row r="416">
      <c r="A416" s="13"/>
      <c r="D416" s="25"/>
      <c r="E416" s="25"/>
    </row>
    <row r="417">
      <c r="A417" s="13"/>
      <c r="D417" s="25"/>
      <c r="E417" s="25"/>
    </row>
    <row r="418">
      <c r="A418" s="13"/>
      <c r="D418" s="25"/>
      <c r="E418" s="25"/>
    </row>
    <row r="419">
      <c r="A419" s="13"/>
      <c r="D419" s="25"/>
      <c r="E419" s="25"/>
    </row>
    <row r="420">
      <c r="A420" s="13"/>
      <c r="D420" s="25"/>
      <c r="E420" s="25"/>
    </row>
    <row r="421">
      <c r="A421" s="13"/>
      <c r="D421" s="25"/>
      <c r="E421" s="25"/>
    </row>
    <row r="422">
      <c r="A422" s="13"/>
      <c r="D422" s="25"/>
      <c r="E422" s="25"/>
    </row>
    <row r="423">
      <c r="A423" s="13"/>
      <c r="D423" s="25"/>
      <c r="E423" s="25"/>
    </row>
    <row r="424">
      <c r="A424" s="13"/>
      <c r="D424" s="25"/>
      <c r="E424" s="25"/>
    </row>
    <row r="425">
      <c r="A425" s="13"/>
      <c r="D425" s="25"/>
      <c r="E425" s="25"/>
    </row>
    <row r="426">
      <c r="A426" s="13"/>
      <c r="D426" s="25"/>
      <c r="E426" s="25"/>
    </row>
    <row r="427">
      <c r="A427" s="13"/>
      <c r="D427" s="25"/>
      <c r="E427" s="25"/>
    </row>
    <row r="428">
      <c r="A428" s="13"/>
      <c r="D428" s="25"/>
      <c r="E428" s="25"/>
    </row>
    <row r="429">
      <c r="A429" s="13"/>
      <c r="D429" s="25"/>
      <c r="E429" s="25"/>
    </row>
    <row r="430">
      <c r="A430" s="13"/>
      <c r="D430" s="25"/>
      <c r="E430" s="25"/>
    </row>
    <row r="431">
      <c r="A431" s="13"/>
      <c r="D431" s="25"/>
      <c r="E431" s="25"/>
    </row>
    <row r="432">
      <c r="A432" s="13"/>
      <c r="D432" s="25"/>
      <c r="E432" s="25"/>
    </row>
    <row r="433">
      <c r="A433" s="13"/>
      <c r="D433" s="25"/>
      <c r="E433" s="25"/>
    </row>
    <row r="434">
      <c r="A434" s="13"/>
      <c r="D434" s="25"/>
      <c r="E434" s="25"/>
    </row>
    <row r="435">
      <c r="A435" s="13"/>
      <c r="D435" s="25"/>
      <c r="E435" s="25"/>
    </row>
    <row r="436">
      <c r="A436" s="13"/>
      <c r="D436" s="25"/>
      <c r="E436" s="25"/>
    </row>
    <row r="437">
      <c r="A437" s="13"/>
      <c r="D437" s="25"/>
      <c r="E437" s="25"/>
    </row>
    <row r="438">
      <c r="A438" s="13"/>
      <c r="D438" s="25"/>
      <c r="E438" s="25"/>
    </row>
    <row r="439">
      <c r="A439" s="13"/>
      <c r="D439" s="25"/>
      <c r="E439" s="25"/>
    </row>
    <row r="440">
      <c r="A440" s="13"/>
      <c r="D440" s="25"/>
      <c r="E440" s="25"/>
    </row>
    <row r="441">
      <c r="A441" s="13"/>
      <c r="D441" s="25"/>
      <c r="E441" s="25"/>
    </row>
    <row r="442">
      <c r="A442" s="13"/>
      <c r="D442" s="25"/>
      <c r="E442" s="25"/>
    </row>
    <row r="443">
      <c r="A443" s="13"/>
      <c r="D443" s="25"/>
      <c r="E443" s="25"/>
    </row>
    <row r="444">
      <c r="A444" s="13"/>
      <c r="D444" s="25"/>
      <c r="E444" s="25"/>
    </row>
    <row r="445">
      <c r="A445" s="13"/>
      <c r="D445" s="25"/>
      <c r="E445" s="25"/>
    </row>
    <row r="446">
      <c r="A446" s="13"/>
      <c r="D446" s="25"/>
      <c r="E446" s="25"/>
    </row>
    <row r="447">
      <c r="A447" s="13"/>
      <c r="D447" s="25"/>
      <c r="E447" s="25"/>
    </row>
    <row r="448">
      <c r="A448" s="13"/>
      <c r="D448" s="25"/>
      <c r="E448" s="25"/>
    </row>
    <row r="449">
      <c r="A449" s="13"/>
      <c r="D449" s="25"/>
      <c r="E449" s="25"/>
    </row>
    <row r="450">
      <c r="A450" s="13"/>
      <c r="D450" s="25"/>
      <c r="E450" s="25"/>
    </row>
    <row r="451">
      <c r="A451" s="13"/>
      <c r="D451" s="25"/>
      <c r="E451" s="25"/>
    </row>
    <row r="452">
      <c r="A452" s="13"/>
      <c r="D452" s="25"/>
      <c r="E452" s="25"/>
    </row>
    <row r="453">
      <c r="A453" s="13"/>
      <c r="D453" s="25"/>
      <c r="E453" s="25"/>
    </row>
    <row r="454">
      <c r="A454" s="13"/>
      <c r="D454" s="25"/>
      <c r="E454" s="25"/>
    </row>
    <row r="455">
      <c r="A455" s="13"/>
      <c r="D455" s="25"/>
      <c r="E455" s="25"/>
    </row>
    <row r="456">
      <c r="A456" s="13"/>
      <c r="D456" s="25"/>
      <c r="E456" s="25"/>
    </row>
    <row r="457">
      <c r="A457" s="13"/>
      <c r="D457" s="25"/>
      <c r="E457" s="25"/>
    </row>
    <row r="458">
      <c r="A458" s="13"/>
      <c r="D458" s="25"/>
      <c r="E458" s="25"/>
    </row>
    <row r="459">
      <c r="A459" s="13"/>
      <c r="D459" s="25"/>
      <c r="E459" s="25"/>
    </row>
    <row r="460">
      <c r="A460" s="13"/>
      <c r="D460" s="25"/>
      <c r="E460" s="25"/>
    </row>
    <row r="461">
      <c r="A461" s="13"/>
      <c r="D461" s="25"/>
      <c r="E461" s="25"/>
    </row>
    <row r="462">
      <c r="A462" s="13"/>
      <c r="D462" s="25"/>
      <c r="E462" s="25"/>
    </row>
    <row r="463">
      <c r="A463" s="13"/>
      <c r="D463" s="25"/>
      <c r="E463" s="25"/>
    </row>
    <row r="464">
      <c r="A464" s="13"/>
      <c r="D464" s="25"/>
      <c r="E464" s="25"/>
    </row>
    <row r="465">
      <c r="A465" s="13"/>
      <c r="D465" s="25"/>
      <c r="E465" s="25"/>
    </row>
    <row r="466">
      <c r="A466" s="13"/>
      <c r="D466" s="25"/>
      <c r="E466" s="25"/>
    </row>
    <row r="467">
      <c r="A467" s="13"/>
      <c r="D467" s="25"/>
      <c r="E467" s="25"/>
    </row>
    <row r="468">
      <c r="A468" s="13"/>
      <c r="D468" s="25"/>
      <c r="E468" s="25"/>
    </row>
    <row r="469">
      <c r="A469" s="13"/>
      <c r="D469" s="25"/>
      <c r="E469" s="25"/>
    </row>
    <row r="470">
      <c r="A470" s="13"/>
      <c r="D470" s="25"/>
      <c r="E470" s="25"/>
    </row>
    <row r="471">
      <c r="A471" s="13"/>
      <c r="D471" s="25"/>
      <c r="E471" s="25"/>
    </row>
    <row r="472">
      <c r="A472" s="13"/>
      <c r="D472" s="25"/>
      <c r="E472" s="25"/>
    </row>
    <row r="473">
      <c r="A473" s="13"/>
      <c r="D473" s="25"/>
      <c r="E473" s="25"/>
    </row>
    <row r="474">
      <c r="A474" s="13"/>
      <c r="D474" s="25"/>
      <c r="E474" s="25"/>
    </row>
    <row r="475">
      <c r="A475" s="13"/>
      <c r="D475" s="25"/>
      <c r="E475" s="25"/>
    </row>
    <row r="476">
      <c r="A476" s="13"/>
      <c r="D476" s="25"/>
      <c r="E476" s="25"/>
    </row>
    <row r="477">
      <c r="A477" s="13"/>
      <c r="D477" s="25"/>
      <c r="E477" s="25"/>
    </row>
    <row r="478">
      <c r="A478" s="13"/>
      <c r="D478" s="25"/>
      <c r="E478" s="25"/>
    </row>
    <row r="479">
      <c r="A479" s="13"/>
      <c r="D479" s="25"/>
      <c r="E479" s="25"/>
    </row>
    <row r="480">
      <c r="A480" s="13"/>
      <c r="D480" s="25"/>
      <c r="E480" s="25"/>
    </row>
    <row r="481">
      <c r="A481" s="13"/>
      <c r="D481" s="25"/>
      <c r="E481" s="25"/>
    </row>
    <row r="482">
      <c r="A482" s="13"/>
      <c r="D482" s="25"/>
      <c r="E482" s="25"/>
    </row>
    <row r="483">
      <c r="A483" s="13"/>
      <c r="D483" s="25"/>
      <c r="E483" s="25"/>
    </row>
    <row r="484">
      <c r="A484" s="13"/>
      <c r="D484" s="25"/>
      <c r="E484" s="25"/>
    </row>
    <row r="485">
      <c r="A485" s="13"/>
      <c r="D485" s="25"/>
      <c r="E485" s="25"/>
    </row>
    <row r="486">
      <c r="A486" s="13"/>
      <c r="D486" s="25"/>
      <c r="E486" s="25"/>
    </row>
    <row r="487">
      <c r="A487" s="13"/>
      <c r="D487" s="25"/>
      <c r="E487" s="25"/>
    </row>
    <row r="488">
      <c r="A488" s="13"/>
      <c r="D488" s="25"/>
      <c r="E488" s="25"/>
    </row>
    <row r="489">
      <c r="A489" s="13"/>
      <c r="D489" s="25"/>
      <c r="E489" s="25"/>
    </row>
    <row r="490">
      <c r="A490" s="13"/>
      <c r="D490" s="25"/>
      <c r="E490" s="25"/>
    </row>
    <row r="491">
      <c r="A491" s="13"/>
      <c r="D491" s="25"/>
      <c r="E491" s="25"/>
    </row>
    <row r="492">
      <c r="A492" s="13"/>
      <c r="D492" s="25"/>
      <c r="E492" s="25"/>
    </row>
    <row r="493">
      <c r="A493" s="13"/>
      <c r="D493" s="25"/>
      <c r="E493" s="25"/>
    </row>
    <row r="494">
      <c r="A494" s="13"/>
      <c r="D494" s="25"/>
      <c r="E494" s="25"/>
    </row>
    <row r="495">
      <c r="A495" s="13"/>
      <c r="D495" s="25"/>
      <c r="E495" s="25"/>
    </row>
    <row r="496">
      <c r="A496" s="13"/>
      <c r="D496" s="25"/>
      <c r="E496" s="25"/>
    </row>
    <row r="497">
      <c r="A497" s="13"/>
      <c r="D497" s="25"/>
      <c r="E497" s="25"/>
    </row>
    <row r="498">
      <c r="A498" s="13"/>
      <c r="D498" s="25"/>
      <c r="E498" s="25"/>
    </row>
    <row r="499">
      <c r="A499" s="13"/>
      <c r="D499" s="25"/>
      <c r="E499" s="25"/>
    </row>
    <row r="500">
      <c r="A500" s="13"/>
      <c r="D500" s="25"/>
      <c r="E500" s="25"/>
    </row>
    <row r="501">
      <c r="A501" s="13"/>
      <c r="D501" s="25"/>
      <c r="E501" s="25"/>
    </row>
    <row r="502">
      <c r="A502" s="13"/>
      <c r="D502" s="25"/>
      <c r="E502" s="25"/>
    </row>
    <row r="503">
      <c r="A503" s="13"/>
      <c r="D503" s="25"/>
      <c r="E503" s="25"/>
    </row>
    <row r="504">
      <c r="A504" s="13"/>
      <c r="D504" s="25"/>
      <c r="E504" s="25"/>
    </row>
    <row r="505">
      <c r="A505" s="13"/>
      <c r="D505" s="25"/>
      <c r="E505" s="25"/>
    </row>
    <row r="506">
      <c r="A506" s="13"/>
      <c r="D506" s="25"/>
      <c r="E506" s="25"/>
    </row>
    <row r="507">
      <c r="A507" s="13"/>
      <c r="D507" s="25"/>
      <c r="E507" s="25"/>
    </row>
    <row r="508">
      <c r="A508" s="13"/>
      <c r="D508" s="25"/>
      <c r="E508" s="25"/>
    </row>
    <row r="509">
      <c r="A509" s="13"/>
      <c r="D509" s="25"/>
      <c r="E509" s="25"/>
    </row>
    <row r="510">
      <c r="A510" s="13"/>
      <c r="D510" s="25"/>
      <c r="E510" s="25"/>
    </row>
    <row r="511">
      <c r="A511" s="13"/>
      <c r="D511" s="25"/>
      <c r="E511" s="25"/>
    </row>
    <row r="512">
      <c r="A512" s="13"/>
      <c r="D512" s="25"/>
      <c r="E512" s="25"/>
    </row>
    <row r="513">
      <c r="A513" s="13"/>
      <c r="D513" s="25"/>
      <c r="E513" s="25"/>
    </row>
    <row r="514">
      <c r="A514" s="13"/>
      <c r="D514" s="25"/>
      <c r="E514" s="25"/>
    </row>
    <row r="515">
      <c r="A515" s="13"/>
      <c r="D515" s="25"/>
      <c r="E515" s="25"/>
    </row>
    <row r="516">
      <c r="A516" s="13"/>
      <c r="D516" s="25"/>
      <c r="E516" s="25"/>
    </row>
    <row r="517">
      <c r="A517" s="13"/>
      <c r="D517" s="25"/>
      <c r="E517" s="25"/>
    </row>
    <row r="518">
      <c r="A518" s="13"/>
      <c r="D518" s="25"/>
      <c r="E518" s="25"/>
    </row>
    <row r="519">
      <c r="A519" s="13"/>
      <c r="D519" s="25"/>
      <c r="E519" s="25"/>
    </row>
    <row r="520">
      <c r="A520" s="13"/>
      <c r="D520" s="25"/>
      <c r="E520" s="25"/>
    </row>
    <row r="521">
      <c r="A521" s="13"/>
      <c r="D521" s="25"/>
      <c r="E521" s="25"/>
    </row>
    <row r="522">
      <c r="A522" s="13"/>
      <c r="D522" s="25"/>
      <c r="E522" s="25"/>
    </row>
    <row r="523">
      <c r="A523" s="13"/>
      <c r="D523" s="25"/>
      <c r="E523" s="25"/>
    </row>
    <row r="524">
      <c r="A524" s="13"/>
      <c r="D524" s="25"/>
      <c r="E524" s="25"/>
    </row>
    <row r="525">
      <c r="A525" s="13"/>
      <c r="D525" s="25"/>
      <c r="E525" s="25"/>
    </row>
    <row r="526">
      <c r="A526" s="13"/>
      <c r="D526" s="25"/>
      <c r="E526" s="25"/>
    </row>
    <row r="527">
      <c r="A527" s="13"/>
      <c r="D527" s="25"/>
      <c r="E527" s="25"/>
    </row>
    <row r="528">
      <c r="A528" s="13"/>
      <c r="D528" s="25"/>
      <c r="E528" s="25"/>
    </row>
    <row r="529">
      <c r="A529" s="13"/>
      <c r="D529" s="25"/>
      <c r="E529" s="25"/>
    </row>
    <row r="530">
      <c r="A530" s="13"/>
      <c r="D530" s="25"/>
      <c r="E530" s="25"/>
    </row>
    <row r="531">
      <c r="A531" s="13"/>
      <c r="D531" s="25"/>
      <c r="E531" s="25"/>
    </row>
    <row r="532">
      <c r="A532" s="13"/>
      <c r="D532" s="25"/>
      <c r="E532" s="25"/>
    </row>
    <row r="533">
      <c r="A533" s="13"/>
      <c r="D533" s="25"/>
      <c r="E533" s="25"/>
    </row>
    <row r="534">
      <c r="A534" s="13"/>
      <c r="D534" s="25"/>
      <c r="E534" s="25"/>
    </row>
    <row r="535">
      <c r="A535" s="13"/>
      <c r="D535" s="25"/>
      <c r="E535" s="25"/>
    </row>
    <row r="536">
      <c r="A536" s="13"/>
      <c r="D536" s="25"/>
      <c r="E536" s="25"/>
    </row>
    <row r="537">
      <c r="A537" s="13"/>
      <c r="D537" s="25"/>
      <c r="E537" s="25"/>
    </row>
    <row r="538">
      <c r="A538" s="13"/>
      <c r="D538" s="25"/>
      <c r="E538" s="25"/>
    </row>
    <row r="539">
      <c r="A539" s="13"/>
      <c r="D539" s="25"/>
      <c r="E539" s="25"/>
    </row>
    <row r="540">
      <c r="A540" s="13"/>
      <c r="D540" s="25"/>
      <c r="E540" s="25"/>
    </row>
    <row r="541">
      <c r="A541" s="13"/>
      <c r="D541" s="25"/>
      <c r="E541" s="25"/>
    </row>
    <row r="542">
      <c r="A542" s="13"/>
      <c r="D542" s="25"/>
      <c r="E542" s="25"/>
    </row>
    <row r="543">
      <c r="A543" s="13"/>
      <c r="D543" s="25"/>
      <c r="E543" s="25"/>
    </row>
    <row r="544">
      <c r="A544" s="13"/>
      <c r="D544" s="25"/>
      <c r="E544" s="25"/>
    </row>
    <row r="545">
      <c r="A545" s="13"/>
      <c r="D545" s="25"/>
      <c r="E545" s="25"/>
    </row>
    <row r="546">
      <c r="A546" s="13"/>
      <c r="D546" s="25"/>
      <c r="E546" s="25"/>
    </row>
    <row r="547">
      <c r="A547" s="13"/>
      <c r="D547" s="25"/>
      <c r="E547" s="25"/>
    </row>
    <row r="548">
      <c r="A548" s="13"/>
      <c r="D548" s="25"/>
      <c r="E548" s="25"/>
    </row>
    <row r="549">
      <c r="A549" s="13"/>
      <c r="D549" s="25"/>
      <c r="E549" s="25"/>
    </row>
    <row r="550">
      <c r="A550" s="13"/>
      <c r="D550" s="25"/>
      <c r="E550" s="25"/>
    </row>
    <row r="551">
      <c r="A551" s="13"/>
      <c r="D551" s="25"/>
      <c r="E551" s="25"/>
    </row>
    <row r="552">
      <c r="A552" s="13"/>
      <c r="D552" s="25"/>
      <c r="E552" s="25"/>
    </row>
    <row r="553">
      <c r="A553" s="13"/>
      <c r="D553" s="25"/>
      <c r="E553" s="25"/>
    </row>
    <row r="554">
      <c r="A554" s="13"/>
      <c r="D554" s="25"/>
      <c r="E554" s="25"/>
    </row>
    <row r="555">
      <c r="A555" s="13"/>
      <c r="D555" s="25"/>
      <c r="E555" s="25"/>
    </row>
    <row r="556">
      <c r="A556" s="13"/>
      <c r="D556" s="25"/>
      <c r="E556" s="25"/>
    </row>
    <row r="557">
      <c r="A557" s="13"/>
      <c r="D557" s="25"/>
      <c r="E557" s="25"/>
    </row>
    <row r="558">
      <c r="A558" s="13"/>
      <c r="D558" s="25"/>
      <c r="E558" s="25"/>
    </row>
    <row r="559">
      <c r="A559" s="13"/>
      <c r="D559" s="25"/>
      <c r="E559" s="25"/>
    </row>
    <row r="560">
      <c r="A560" s="13"/>
      <c r="D560" s="25"/>
      <c r="E560" s="25"/>
    </row>
    <row r="561">
      <c r="A561" s="13"/>
      <c r="D561" s="25"/>
      <c r="E561" s="25"/>
    </row>
    <row r="562">
      <c r="A562" s="13"/>
      <c r="D562" s="25"/>
      <c r="E562" s="25"/>
    </row>
    <row r="563">
      <c r="A563" s="13"/>
      <c r="D563" s="25"/>
      <c r="E563" s="25"/>
    </row>
    <row r="564">
      <c r="A564" s="13"/>
      <c r="D564" s="25"/>
      <c r="E564" s="25"/>
    </row>
    <row r="565">
      <c r="A565" s="13"/>
      <c r="D565" s="25"/>
      <c r="E565" s="25"/>
    </row>
    <row r="566">
      <c r="A566" s="13"/>
      <c r="D566" s="25"/>
      <c r="E566" s="25"/>
    </row>
    <row r="567">
      <c r="A567" s="13"/>
      <c r="D567" s="25"/>
      <c r="E567" s="25"/>
    </row>
    <row r="568">
      <c r="A568" s="13"/>
      <c r="D568" s="25"/>
      <c r="E568" s="25"/>
    </row>
    <row r="569">
      <c r="A569" s="13"/>
      <c r="D569" s="25"/>
      <c r="E569" s="25"/>
    </row>
    <row r="570">
      <c r="A570" s="13"/>
      <c r="D570" s="25"/>
      <c r="E570" s="25"/>
    </row>
    <row r="571">
      <c r="A571" s="13"/>
      <c r="D571" s="25"/>
      <c r="E571" s="25"/>
    </row>
    <row r="572">
      <c r="A572" s="13"/>
      <c r="D572" s="25"/>
      <c r="E572" s="25"/>
    </row>
    <row r="573">
      <c r="A573" s="13"/>
      <c r="D573" s="25"/>
      <c r="E573" s="25"/>
    </row>
    <row r="574">
      <c r="A574" s="13"/>
      <c r="D574" s="25"/>
      <c r="E574" s="25"/>
    </row>
    <row r="575">
      <c r="A575" s="13"/>
      <c r="D575" s="25"/>
      <c r="E575" s="25"/>
    </row>
    <row r="576">
      <c r="A576" s="13"/>
      <c r="D576" s="25"/>
      <c r="E576" s="25"/>
    </row>
    <row r="577">
      <c r="A577" s="13"/>
      <c r="D577" s="25"/>
      <c r="E577" s="25"/>
    </row>
    <row r="578">
      <c r="A578" s="13"/>
      <c r="D578" s="25"/>
      <c r="E578" s="25"/>
    </row>
    <row r="579">
      <c r="A579" s="13"/>
      <c r="D579" s="25"/>
      <c r="E579" s="25"/>
    </row>
    <row r="580">
      <c r="A580" s="13"/>
      <c r="D580" s="25"/>
      <c r="E580" s="25"/>
    </row>
    <row r="581">
      <c r="A581" s="13"/>
      <c r="D581" s="25"/>
      <c r="E581" s="25"/>
    </row>
    <row r="582">
      <c r="A582" s="13"/>
      <c r="D582" s="25"/>
      <c r="E582" s="25"/>
    </row>
    <row r="583">
      <c r="A583" s="13"/>
      <c r="D583" s="25"/>
      <c r="E583" s="25"/>
    </row>
    <row r="584">
      <c r="A584" s="13"/>
      <c r="D584" s="25"/>
      <c r="E584" s="25"/>
    </row>
    <row r="585">
      <c r="A585" s="13"/>
      <c r="D585" s="25"/>
      <c r="E585" s="25"/>
    </row>
    <row r="586">
      <c r="A586" s="13"/>
      <c r="D586" s="25"/>
      <c r="E586" s="25"/>
    </row>
    <row r="587">
      <c r="A587" s="13"/>
      <c r="D587" s="25"/>
      <c r="E587" s="25"/>
    </row>
    <row r="588">
      <c r="A588" s="13"/>
      <c r="D588" s="25"/>
      <c r="E588" s="25"/>
    </row>
    <row r="589">
      <c r="A589" s="13"/>
      <c r="D589" s="25"/>
      <c r="E589" s="25"/>
    </row>
    <row r="590">
      <c r="A590" s="13"/>
      <c r="D590" s="25"/>
      <c r="E590" s="25"/>
    </row>
    <row r="591">
      <c r="A591" s="13"/>
      <c r="D591" s="25"/>
      <c r="E591" s="25"/>
    </row>
    <row r="592">
      <c r="A592" s="13"/>
      <c r="D592" s="25"/>
      <c r="E592" s="25"/>
    </row>
    <row r="593">
      <c r="A593" s="13"/>
      <c r="D593" s="25"/>
      <c r="E593" s="25"/>
    </row>
    <row r="594">
      <c r="A594" s="13"/>
      <c r="D594" s="25"/>
      <c r="E594" s="25"/>
    </row>
    <row r="595">
      <c r="A595" s="13"/>
      <c r="D595" s="25"/>
      <c r="E595" s="25"/>
    </row>
    <row r="596">
      <c r="A596" s="13"/>
      <c r="D596" s="25"/>
      <c r="E596" s="25"/>
    </row>
    <row r="597">
      <c r="A597" s="13"/>
      <c r="D597" s="25"/>
      <c r="E597" s="25"/>
    </row>
    <row r="598">
      <c r="A598" s="13"/>
      <c r="D598" s="25"/>
      <c r="E598" s="25"/>
    </row>
    <row r="599">
      <c r="A599" s="13"/>
      <c r="D599" s="25"/>
      <c r="E599" s="25"/>
    </row>
    <row r="600">
      <c r="A600" s="13"/>
      <c r="D600" s="25"/>
      <c r="E600" s="25"/>
    </row>
    <row r="601">
      <c r="A601" s="13"/>
      <c r="D601" s="25"/>
      <c r="E601" s="25"/>
    </row>
    <row r="602">
      <c r="A602" s="13"/>
      <c r="D602" s="25"/>
      <c r="E602" s="25"/>
    </row>
    <row r="603">
      <c r="A603" s="13"/>
      <c r="D603" s="25"/>
      <c r="E603" s="25"/>
    </row>
    <row r="604">
      <c r="A604" s="13"/>
      <c r="D604" s="25"/>
      <c r="E604" s="25"/>
    </row>
    <row r="605">
      <c r="A605" s="13"/>
      <c r="D605" s="25"/>
      <c r="E605" s="25"/>
    </row>
    <row r="606">
      <c r="A606" s="13"/>
      <c r="D606" s="25"/>
      <c r="E606" s="25"/>
    </row>
    <row r="607">
      <c r="A607" s="13"/>
      <c r="D607" s="25"/>
      <c r="E607" s="25"/>
    </row>
    <row r="608">
      <c r="A608" s="13"/>
      <c r="D608" s="25"/>
      <c r="E608" s="25"/>
    </row>
    <row r="609">
      <c r="A609" s="13"/>
      <c r="D609" s="25"/>
      <c r="E609" s="25"/>
    </row>
    <row r="610">
      <c r="A610" s="13"/>
      <c r="D610" s="25"/>
      <c r="E610" s="25"/>
    </row>
    <row r="611">
      <c r="A611" s="13"/>
      <c r="D611" s="25"/>
      <c r="E611" s="25"/>
    </row>
    <row r="612">
      <c r="A612" s="13"/>
      <c r="D612" s="25"/>
      <c r="E612" s="25"/>
    </row>
    <row r="613">
      <c r="A613" s="13"/>
      <c r="D613" s="25"/>
      <c r="E613" s="25"/>
    </row>
    <row r="614">
      <c r="A614" s="13"/>
      <c r="D614" s="25"/>
      <c r="E614" s="25"/>
    </row>
    <row r="615">
      <c r="A615" s="13"/>
      <c r="D615" s="25"/>
      <c r="E615" s="25"/>
    </row>
    <row r="616">
      <c r="A616" s="13"/>
      <c r="D616" s="25"/>
      <c r="E616" s="25"/>
    </row>
    <row r="617">
      <c r="A617" s="13"/>
      <c r="D617" s="25"/>
      <c r="E617" s="25"/>
    </row>
    <row r="618">
      <c r="A618" s="13"/>
      <c r="D618" s="25"/>
      <c r="E618" s="25"/>
    </row>
    <row r="619">
      <c r="A619" s="13"/>
      <c r="D619" s="25"/>
      <c r="E619" s="25"/>
    </row>
    <row r="620">
      <c r="A620" s="13"/>
      <c r="D620" s="25"/>
      <c r="E620" s="25"/>
    </row>
    <row r="621">
      <c r="A621" s="13"/>
      <c r="D621" s="25"/>
      <c r="E621" s="25"/>
    </row>
    <row r="622">
      <c r="A622" s="13"/>
      <c r="D622" s="25"/>
      <c r="E622" s="25"/>
    </row>
    <row r="623">
      <c r="A623" s="13"/>
      <c r="D623" s="25"/>
      <c r="E623" s="25"/>
    </row>
    <row r="624">
      <c r="A624" s="13"/>
      <c r="D624" s="25"/>
      <c r="E624" s="25"/>
    </row>
    <row r="625">
      <c r="A625" s="13"/>
      <c r="D625" s="25"/>
      <c r="E625" s="25"/>
    </row>
    <row r="626">
      <c r="A626" s="13"/>
      <c r="D626" s="25"/>
      <c r="E626" s="25"/>
    </row>
    <row r="627">
      <c r="A627" s="13"/>
      <c r="D627" s="25"/>
      <c r="E627" s="25"/>
    </row>
    <row r="628">
      <c r="A628" s="13"/>
      <c r="D628" s="25"/>
      <c r="E628" s="25"/>
    </row>
    <row r="629">
      <c r="A629" s="13"/>
      <c r="D629" s="25"/>
      <c r="E629" s="25"/>
    </row>
    <row r="630">
      <c r="A630" s="13"/>
      <c r="D630" s="25"/>
      <c r="E630" s="25"/>
    </row>
    <row r="631">
      <c r="A631" s="13"/>
      <c r="D631" s="25"/>
      <c r="E631" s="25"/>
    </row>
    <row r="632">
      <c r="A632" s="13"/>
      <c r="D632" s="25"/>
      <c r="E632" s="25"/>
    </row>
    <row r="633">
      <c r="A633" s="13"/>
      <c r="D633" s="25"/>
      <c r="E633" s="25"/>
    </row>
    <row r="634">
      <c r="A634" s="13"/>
      <c r="D634" s="25"/>
      <c r="E634" s="25"/>
    </row>
    <row r="635">
      <c r="A635" s="13"/>
      <c r="D635" s="25"/>
      <c r="E635" s="25"/>
    </row>
    <row r="636">
      <c r="A636" s="13"/>
      <c r="D636" s="25"/>
      <c r="E636" s="25"/>
    </row>
    <row r="637">
      <c r="A637" s="13"/>
      <c r="D637" s="25"/>
      <c r="E637" s="25"/>
    </row>
    <row r="638">
      <c r="A638" s="13"/>
      <c r="D638" s="25"/>
      <c r="E638" s="25"/>
    </row>
    <row r="639">
      <c r="A639" s="13"/>
      <c r="D639" s="25"/>
      <c r="E639" s="25"/>
    </row>
    <row r="640">
      <c r="A640" s="13"/>
      <c r="D640" s="25"/>
      <c r="E640" s="25"/>
    </row>
    <row r="641">
      <c r="A641" s="13"/>
      <c r="D641" s="25"/>
      <c r="E641" s="25"/>
    </row>
    <row r="642">
      <c r="A642" s="13"/>
      <c r="D642" s="25"/>
      <c r="E642" s="25"/>
    </row>
    <row r="643">
      <c r="A643" s="13"/>
      <c r="D643" s="25"/>
      <c r="E643" s="25"/>
    </row>
    <row r="644">
      <c r="A644" s="13"/>
      <c r="D644" s="25"/>
      <c r="E644" s="25"/>
    </row>
    <row r="645">
      <c r="A645" s="13"/>
      <c r="D645" s="25"/>
      <c r="E645" s="25"/>
    </row>
    <row r="646">
      <c r="A646" s="13"/>
      <c r="D646" s="25"/>
      <c r="E646" s="25"/>
    </row>
    <row r="647">
      <c r="A647" s="13"/>
      <c r="D647" s="25"/>
      <c r="E647" s="25"/>
    </row>
    <row r="648">
      <c r="A648" s="13"/>
      <c r="D648" s="25"/>
      <c r="E648" s="25"/>
    </row>
    <row r="649">
      <c r="A649" s="13"/>
      <c r="D649" s="25"/>
      <c r="E649" s="25"/>
    </row>
    <row r="650">
      <c r="A650" s="13"/>
      <c r="D650" s="25"/>
      <c r="E650" s="25"/>
    </row>
    <row r="651">
      <c r="A651" s="13"/>
      <c r="D651" s="25"/>
      <c r="E651" s="25"/>
    </row>
    <row r="652">
      <c r="A652" s="13"/>
      <c r="D652" s="25"/>
      <c r="E652" s="25"/>
    </row>
    <row r="653">
      <c r="A653" s="13"/>
      <c r="D653" s="25"/>
      <c r="E653" s="25"/>
    </row>
    <row r="654">
      <c r="A654" s="13"/>
      <c r="D654" s="25"/>
      <c r="E654" s="25"/>
    </row>
    <row r="655">
      <c r="A655" s="13"/>
      <c r="D655" s="25"/>
      <c r="E655" s="25"/>
    </row>
    <row r="656">
      <c r="A656" s="13"/>
      <c r="D656" s="25"/>
      <c r="E656" s="25"/>
    </row>
    <row r="657">
      <c r="A657" s="13"/>
      <c r="D657" s="25"/>
      <c r="E657" s="25"/>
    </row>
    <row r="658">
      <c r="A658" s="13"/>
      <c r="D658" s="25"/>
      <c r="E658" s="25"/>
    </row>
    <row r="659">
      <c r="A659" s="13"/>
      <c r="D659" s="25"/>
      <c r="E659" s="25"/>
    </row>
    <row r="660">
      <c r="A660" s="13"/>
      <c r="D660" s="25"/>
      <c r="E660" s="25"/>
    </row>
    <row r="661">
      <c r="A661" s="13"/>
      <c r="D661" s="25"/>
      <c r="E661" s="25"/>
    </row>
    <row r="662">
      <c r="A662" s="13"/>
      <c r="D662" s="25"/>
      <c r="E662" s="25"/>
    </row>
    <row r="663">
      <c r="A663" s="13"/>
      <c r="D663" s="25"/>
      <c r="E663" s="25"/>
    </row>
    <row r="664">
      <c r="A664" s="13"/>
      <c r="D664" s="25"/>
      <c r="E664" s="25"/>
    </row>
    <row r="665">
      <c r="A665" s="13"/>
      <c r="D665" s="25"/>
      <c r="E665" s="25"/>
    </row>
    <row r="666">
      <c r="A666" s="13"/>
      <c r="D666" s="25"/>
      <c r="E666" s="25"/>
    </row>
    <row r="667">
      <c r="A667" s="13"/>
      <c r="D667" s="25"/>
      <c r="E667" s="25"/>
    </row>
    <row r="668">
      <c r="A668" s="13"/>
      <c r="D668" s="25"/>
      <c r="E668" s="25"/>
    </row>
    <row r="669">
      <c r="A669" s="13"/>
      <c r="D669" s="25"/>
      <c r="E669" s="25"/>
    </row>
    <row r="670">
      <c r="A670" s="13"/>
      <c r="D670" s="25"/>
      <c r="E670" s="25"/>
    </row>
    <row r="671">
      <c r="A671" s="13"/>
      <c r="D671" s="25"/>
      <c r="E671" s="25"/>
    </row>
    <row r="672">
      <c r="A672" s="13"/>
      <c r="D672" s="25"/>
      <c r="E672" s="25"/>
    </row>
    <row r="673">
      <c r="A673" s="13"/>
      <c r="D673" s="25"/>
      <c r="E673" s="25"/>
    </row>
    <row r="674">
      <c r="A674" s="13"/>
      <c r="D674" s="25"/>
      <c r="E674" s="25"/>
    </row>
    <row r="675">
      <c r="A675" s="13"/>
      <c r="D675" s="25"/>
      <c r="E675" s="25"/>
    </row>
    <row r="676">
      <c r="A676" s="13"/>
      <c r="D676" s="25"/>
      <c r="E676" s="25"/>
    </row>
    <row r="677">
      <c r="A677" s="13"/>
      <c r="D677" s="25"/>
      <c r="E677" s="25"/>
    </row>
    <row r="678">
      <c r="A678" s="13"/>
      <c r="D678" s="25"/>
      <c r="E678" s="25"/>
    </row>
    <row r="679">
      <c r="A679" s="13"/>
      <c r="D679" s="25"/>
      <c r="E679" s="25"/>
    </row>
    <row r="680">
      <c r="A680" s="13"/>
      <c r="D680" s="25"/>
      <c r="E680" s="25"/>
    </row>
    <row r="681">
      <c r="A681" s="13"/>
      <c r="D681" s="25"/>
      <c r="E681" s="25"/>
    </row>
    <row r="682">
      <c r="A682" s="13"/>
      <c r="D682" s="25"/>
      <c r="E682" s="25"/>
    </row>
    <row r="683">
      <c r="A683" s="13"/>
      <c r="D683" s="25"/>
      <c r="E683" s="25"/>
    </row>
    <row r="684">
      <c r="A684" s="13"/>
      <c r="D684" s="25"/>
      <c r="E684" s="25"/>
    </row>
    <row r="685">
      <c r="A685" s="13"/>
      <c r="D685" s="25"/>
      <c r="E685" s="25"/>
    </row>
    <row r="686">
      <c r="A686" s="13"/>
      <c r="D686" s="25"/>
      <c r="E686" s="25"/>
    </row>
    <row r="687">
      <c r="A687" s="13"/>
      <c r="D687" s="25"/>
      <c r="E687" s="25"/>
    </row>
    <row r="688">
      <c r="A688" s="13"/>
      <c r="D688" s="25"/>
      <c r="E688" s="25"/>
    </row>
    <row r="689">
      <c r="A689" s="13"/>
      <c r="D689" s="25"/>
      <c r="E689" s="25"/>
    </row>
    <row r="690">
      <c r="A690" s="13"/>
      <c r="D690" s="25"/>
      <c r="E690" s="25"/>
    </row>
    <row r="691">
      <c r="A691" s="13"/>
      <c r="D691" s="25"/>
      <c r="E691" s="25"/>
    </row>
    <row r="692">
      <c r="A692" s="13"/>
      <c r="D692" s="25"/>
      <c r="E692" s="25"/>
    </row>
    <row r="693">
      <c r="A693" s="13"/>
      <c r="D693" s="25"/>
      <c r="E693" s="25"/>
    </row>
    <row r="694">
      <c r="A694" s="13"/>
      <c r="D694" s="25"/>
      <c r="E694" s="25"/>
    </row>
    <row r="695">
      <c r="A695" s="13"/>
      <c r="D695" s="25"/>
      <c r="E695" s="25"/>
    </row>
    <row r="696">
      <c r="A696" s="13"/>
      <c r="D696" s="25"/>
      <c r="E696" s="25"/>
    </row>
    <row r="697">
      <c r="A697" s="13"/>
      <c r="D697" s="25"/>
      <c r="E697" s="25"/>
    </row>
    <row r="698">
      <c r="A698" s="13"/>
      <c r="D698" s="25"/>
      <c r="E698" s="25"/>
    </row>
    <row r="699">
      <c r="A699" s="13"/>
      <c r="D699" s="25"/>
      <c r="E699" s="25"/>
    </row>
    <row r="700">
      <c r="A700" s="13"/>
      <c r="D700" s="25"/>
      <c r="E700" s="25"/>
    </row>
    <row r="701">
      <c r="A701" s="13"/>
      <c r="D701" s="25"/>
      <c r="E701" s="25"/>
    </row>
    <row r="702">
      <c r="A702" s="13"/>
      <c r="D702" s="25"/>
      <c r="E702" s="25"/>
    </row>
    <row r="703">
      <c r="A703" s="13"/>
      <c r="D703" s="25"/>
      <c r="E703" s="25"/>
    </row>
    <row r="704">
      <c r="A704" s="13"/>
      <c r="D704" s="25"/>
      <c r="E704" s="25"/>
    </row>
    <row r="705">
      <c r="A705" s="13"/>
      <c r="D705" s="25"/>
      <c r="E705" s="25"/>
    </row>
    <row r="706">
      <c r="A706" s="13"/>
      <c r="D706" s="25"/>
      <c r="E706" s="25"/>
    </row>
    <row r="707">
      <c r="A707" s="13"/>
      <c r="D707" s="25"/>
      <c r="E707" s="25"/>
    </row>
    <row r="708">
      <c r="A708" s="13"/>
      <c r="D708" s="25"/>
      <c r="E708" s="25"/>
    </row>
    <row r="709">
      <c r="A709" s="13"/>
      <c r="D709" s="25"/>
      <c r="E709" s="25"/>
    </row>
    <row r="710">
      <c r="A710" s="13"/>
      <c r="D710" s="25"/>
      <c r="E710" s="25"/>
    </row>
    <row r="711">
      <c r="A711" s="13"/>
      <c r="D711" s="25"/>
      <c r="E711" s="25"/>
    </row>
    <row r="712">
      <c r="A712" s="13"/>
      <c r="D712" s="25"/>
      <c r="E712" s="25"/>
    </row>
    <row r="713">
      <c r="A713" s="13"/>
      <c r="D713" s="25"/>
      <c r="E713" s="25"/>
    </row>
    <row r="714">
      <c r="A714" s="13"/>
      <c r="D714" s="25"/>
      <c r="E714" s="25"/>
    </row>
    <row r="715">
      <c r="A715" s="13"/>
      <c r="D715" s="25"/>
      <c r="E715" s="25"/>
    </row>
    <row r="716">
      <c r="A716" s="13"/>
      <c r="D716" s="25"/>
      <c r="E716" s="25"/>
    </row>
    <row r="717">
      <c r="A717" s="13"/>
      <c r="D717" s="25"/>
      <c r="E717" s="25"/>
    </row>
    <row r="718">
      <c r="A718" s="13"/>
      <c r="D718" s="25"/>
      <c r="E718" s="25"/>
    </row>
    <row r="719">
      <c r="A719" s="13"/>
      <c r="D719" s="25"/>
      <c r="E719" s="25"/>
    </row>
    <row r="720">
      <c r="A720" s="13"/>
      <c r="D720" s="25"/>
      <c r="E720" s="25"/>
    </row>
    <row r="721">
      <c r="A721" s="13"/>
      <c r="D721" s="25"/>
      <c r="E721" s="25"/>
    </row>
    <row r="722">
      <c r="A722" s="13"/>
      <c r="D722" s="25"/>
      <c r="E722" s="25"/>
    </row>
    <row r="723">
      <c r="A723" s="13"/>
      <c r="D723" s="25"/>
      <c r="E723" s="25"/>
    </row>
    <row r="724">
      <c r="A724" s="13"/>
      <c r="D724" s="25"/>
      <c r="E724" s="25"/>
    </row>
    <row r="725">
      <c r="A725" s="13"/>
      <c r="D725" s="25"/>
      <c r="E725" s="25"/>
    </row>
    <row r="726">
      <c r="A726" s="13"/>
      <c r="D726" s="25"/>
      <c r="E726" s="25"/>
    </row>
    <row r="727">
      <c r="A727" s="13"/>
      <c r="D727" s="25"/>
      <c r="E727" s="25"/>
    </row>
    <row r="728">
      <c r="A728" s="13"/>
      <c r="D728" s="25"/>
      <c r="E728" s="25"/>
    </row>
    <row r="729">
      <c r="A729" s="13"/>
      <c r="D729" s="25"/>
      <c r="E729" s="25"/>
    </row>
    <row r="730">
      <c r="A730" s="13"/>
      <c r="D730" s="25"/>
      <c r="E730" s="25"/>
    </row>
    <row r="731">
      <c r="A731" s="13"/>
      <c r="D731" s="25"/>
      <c r="E731" s="25"/>
    </row>
    <row r="732">
      <c r="A732" s="13"/>
      <c r="D732" s="25"/>
      <c r="E732" s="25"/>
    </row>
    <row r="733">
      <c r="A733" s="13"/>
      <c r="D733" s="25"/>
      <c r="E733" s="25"/>
    </row>
    <row r="734">
      <c r="A734" s="13"/>
      <c r="D734" s="25"/>
      <c r="E734" s="25"/>
    </row>
    <row r="735">
      <c r="A735" s="13"/>
      <c r="D735" s="25"/>
      <c r="E735" s="25"/>
    </row>
    <row r="736">
      <c r="A736" s="13"/>
      <c r="D736" s="25"/>
      <c r="E736" s="25"/>
    </row>
    <row r="737">
      <c r="A737" s="13"/>
      <c r="D737" s="25"/>
      <c r="E737" s="25"/>
    </row>
    <row r="738">
      <c r="A738" s="13"/>
      <c r="D738" s="25"/>
      <c r="E738" s="25"/>
    </row>
    <row r="739">
      <c r="A739" s="13"/>
      <c r="D739" s="25"/>
      <c r="E739" s="25"/>
    </row>
    <row r="740">
      <c r="A740" s="13"/>
      <c r="D740" s="25"/>
      <c r="E740" s="25"/>
    </row>
    <row r="741">
      <c r="A741" s="13"/>
      <c r="D741" s="25"/>
      <c r="E741" s="25"/>
    </row>
    <row r="742">
      <c r="A742" s="13"/>
      <c r="D742" s="25"/>
      <c r="E742" s="25"/>
    </row>
    <row r="743">
      <c r="A743" s="13"/>
      <c r="D743" s="25"/>
      <c r="E743" s="25"/>
    </row>
    <row r="744">
      <c r="A744" s="13"/>
      <c r="D744" s="25"/>
      <c r="E744" s="25"/>
    </row>
    <row r="745">
      <c r="A745" s="13"/>
      <c r="D745" s="25"/>
      <c r="E745" s="25"/>
    </row>
    <row r="746">
      <c r="A746" s="13"/>
      <c r="D746" s="25"/>
      <c r="E746" s="25"/>
    </row>
    <row r="747">
      <c r="A747" s="13"/>
      <c r="D747" s="25"/>
      <c r="E747" s="25"/>
    </row>
    <row r="748">
      <c r="A748" s="13"/>
      <c r="D748" s="25"/>
      <c r="E748" s="25"/>
    </row>
    <row r="749">
      <c r="A749" s="13"/>
      <c r="D749" s="25"/>
      <c r="E749" s="25"/>
    </row>
    <row r="750">
      <c r="A750" s="13"/>
      <c r="D750" s="25"/>
      <c r="E750" s="25"/>
    </row>
    <row r="751">
      <c r="A751" s="13"/>
      <c r="D751" s="25"/>
      <c r="E751" s="25"/>
    </row>
    <row r="752">
      <c r="A752" s="13"/>
      <c r="D752" s="25"/>
      <c r="E752" s="25"/>
    </row>
    <row r="753">
      <c r="A753" s="13"/>
      <c r="D753" s="25"/>
      <c r="E753" s="25"/>
    </row>
    <row r="754">
      <c r="A754" s="13"/>
      <c r="D754" s="25"/>
      <c r="E754" s="25"/>
    </row>
    <row r="755">
      <c r="A755" s="13"/>
      <c r="D755" s="25"/>
      <c r="E755" s="25"/>
    </row>
    <row r="756">
      <c r="A756" s="13"/>
      <c r="D756" s="25"/>
      <c r="E756" s="25"/>
    </row>
    <row r="757">
      <c r="A757" s="13"/>
      <c r="D757" s="25"/>
      <c r="E757" s="25"/>
    </row>
    <row r="758">
      <c r="A758" s="13"/>
      <c r="D758" s="25"/>
      <c r="E758" s="25"/>
    </row>
    <row r="759">
      <c r="A759" s="13"/>
      <c r="D759" s="25"/>
      <c r="E759" s="25"/>
    </row>
    <row r="760">
      <c r="A760" s="13"/>
      <c r="D760" s="25"/>
      <c r="E760" s="25"/>
    </row>
    <row r="761">
      <c r="A761" s="13"/>
      <c r="D761" s="25"/>
      <c r="E761" s="25"/>
    </row>
    <row r="762">
      <c r="A762" s="13"/>
      <c r="D762" s="25"/>
      <c r="E762" s="25"/>
    </row>
    <row r="763">
      <c r="A763" s="13"/>
      <c r="D763" s="25"/>
      <c r="E763" s="25"/>
    </row>
    <row r="764">
      <c r="A764" s="13"/>
      <c r="D764" s="25"/>
      <c r="E764" s="25"/>
    </row>
    <row r="765">
      <c r="A765" s="13"/>
      <c r="D765" s="25"/>
      <c r="E765" s="25"/>
    </row>
    <row r="766">
      <c r="A766" s="13"/>
      <c r="D766" s="25"/>
      <c r="E766" s="25"/>
    </row>
    <row r="767">
      <c r="A767" s="13"/>
      <c r="D767" s="25"/>
      <c r="E767" s="25"/>
    </row>
    <row r="768">
      <c r="A768" s="13"/>
      <c r="D768" s="25"/>
      <c r="E768" s="25"/>
    </row>
    <row r="769">
      <c r="A769" s="13"/>
      <c r="D769" s="25"/>
      <c r="E769" s="25"/>
    </row>
    <row r="770">
      <c r="A770" s="13"/>
      <c r="D770" s="25"/>
      <c r="E770" s="25"/>
    </row>
    <row r="771">
      <c r="A771" s="13"/>
      <c r="D771" s="25"/>
      <c r="E771" s="25"/>
    </row>
    <row r="772">
      <c r="A772" s="13"/>
      <c r="D772" s="25"/>
      <c r="E772" s="25"/>
    </row>
    <row r="773">
      <c r="A773" s="13"/>
      <c r="D773" s="25"/>
      <c r="E773" s="25"/>
    </row>
    <row r="774">
      <c r="A774" s="13"/>
      <c r="D774" s="25"/>
      <c r="E774" s="25"/>
    </row>
    <row r="775">
      <c r="A775" s="13"/>
      <c r="D775" s="25"/>
      <c r="E775" s="25"/>
    </row>
    <row r="776">
      <c r="A776" s="13"/>
      <c r="D776" s="25"/>
      <c r="E776" s="25"/>
    </row>
    <row r="777">
      <c r="A777" s="13"/>
      <c r="D777" s="25"/>
      <c r="E777" s="25"/>
    </row>
    <row r="778">
      <c r="A778" s="13"/>
      <c r="D778" s="25"/>
      <c r="E778" s="25"/>
    </row>
    <row r="779">
      <c r="A779" s="13"/>
      <c r="D779" s="25"/>
      <c r="E779" s="25"/>
    </row>
    <row r="780">
      <c r="A780" s="13"/>
      <c r="D780" s="25"/>
      <c r="E780" s="25"/>
    </row>
    <row r="781">
      <c r="A781" s="13"/>
      <c r="D781" s="25"/>
      <c r="E781" s="25"/>
    </row>
    <row r="782">
      <c r="A782" s="13"/>
      <c r="D782" s="25"/>
      <c r="E782" s="25"/>
    </row>
    <row r="783">
      <c r="A783" s="13"/>
      <c r="D783" s="25"/>
      <c r="E783" s="25"/>
    </row>
    <row r="784">
      <c r="A784" s="13"/>
      <c r="D784" s="25"/>
      <c r="E784" s="25"/>
    </row>
    <row r="785">
      <c r="A785" s="13"/>
      <c r="D785" s="25"/>
      <c r="E785" s="25"/>
    </row>
    <row r="786">
      <c r="A786" s="13"/>
      <c r="D786" s="25"/>
      <c r="E786" s="25"/>
    </row>
    <row r="787">
      <c r="A787" s="13"/>
      <c r="D787" s="25"/>
      <c r="E787" s="25"/>
    </row>
    <row r="788">
      <c r="A788" s="13"/>
      <c r="D788" s="25"/>
      <c r="E788" s="25"/>
    </row>
    <row r="789">
      <c r="A789" s="13"/>
      <c r="D789" s="25"/>
      <c r="E789" s="25"/>
    </row>
    <row r="790">
      <c r="A790" s="13"/>
      <c r="D790" s="25"/>
      <c r="E790" s="25"/>
    </row>
    <row r="791">
      <c r="A791" s="13"/>
      <c r="D791" s="25"/>
      <c r="E791" s="25"/>
    </row>
    <row r="792">
      <c r="A792" s="13"/>
      <c r="D792" s="25"/>
      <c r="E792" s="25"/>
    </row>
    <row r="793">
      <c r="A793" s="13"/>
      <c r="D793" s="25"/>
      <c r="E793" s="25"/>
    </row>
    <row r="794">
      <c r="A794" s="13"/>
      <c r="D794" s="25"/>
      <c r="E794" s="25"/>
    </row>
    <row r="795">
      <c r="A795" s="13"/>
      <c r="D795" s="25"/>
      <c r="E795" s="25"/>
    </row>
    <row r="796">
      <c r="A796" s="13"/>
      <c r="D796" s="25"/>
      <c r="E796" s="25"/>
    </row>
    <row r="797">
      <c r="A797" s="13"/>
      <c r="D797" s="25"/>
      <c r="E797" s="25"/>
    </row>
    <row r="798">
      <c r="A798" s="13"/>
      <c r="D798" s="25"/>
      <c r="E798" s="25"/>
    </row>
    <row r="799">
      <c r="A799" s="13"/>
      <c r="D799" s="25"/>
      <c r="E799" s="25"/>
    </row>
    <row r="800">
      <c r="A800" s="13"/>
      <c r="D800" s="25"/>
      <c r="E800" s="25"/>
    </row>
    <row r="801">
      <c r="A801" s="13"/>
      <c r="D801" s="25"/>
      <c r="E801" s="25"/>
    </row>
    <row r="802">
      <c r="A802" s="13"/>
      <c r="D802" s="25"/>
      <c r="E802" s="25"/>
    </row>
    <row r="803">
      <c r="A803" s="13"/>
      <c r="D803" s="25"/>
      <c r="E803" s="25"/>
    </row>
    <row r="804">
      <c r="A804" s="13"/>
      <c r="D804" s="25"/>
      <c r="E804" s="25"/>
    </row>
    <row r="805">
      <c r="A805" s="13"/>
      <c r="D805" s="25"/>
      <c r="E805" s="25"/>
    </row>
    <row r="806">
      <c r="A806" s="13"/>
      <c r="D806" s="25"/>
      <c r="E806" s="25"/>
    </row>
    <row r="807">
      <c r="A807" s="13"/>
      <c r="D807" s="25"/>
      <c r="E807" s="25"/>
    </row>
    <row r="808">
      <c r="A808" s="13"/>
      <c r="D808" s="25"/>
      <c r="E808" s="25"/>
    </row>
    <row r="809">
      <c r="A809" s="13"/>
      <c r="D809" s="25"/>
      <c r="E809" s="25"/>
    </row>
    <row r="810">
      <c r="A810" s="13"/>
      <c r="D810" s="25"/>
      <c r="E810" s="25"/>
    </row>
    <row r="811">
      <c r="A811" s="13"/>
      <c r="D811" s="25"/>
      <c r="E811" s="25"/>
    </row>
    <row r="812">
      <c r="A812" s="13"/>
      <c r="D812" s="25"/>
      <c r="E812" s="25"/>
    </row>
    <row r="813">
      <c r="A813" s="13"/>
      <c r="D813" s="25"/>
      <c r="E813" s="25"/>
    </row>
    <row r="814">
      <c r="A814" s="13"/>
      <c r="D814" s="25"/>
      <c r="E814" s="25"/>
    </row>
    <row r="815">
      <c r="A815" s="13"/>
      <c r="D815" s="25"/>
      <c r="E815" s="25"/>
    </row>
    <row r="816">
      <c r="A816" s="13"/>
      <c r="D816" s="25"/>
      <c r="E816" s="25"/>
    </row>
    <row r="817">
      <c r="A817" s="13"/>
      <c r="D817" s="25"/>
      <c r="E817" s="25"/>
    </row>
    <row r="818">
      <c r="A818" s="13"/>
      <c r="D818" s="25"/>
      <c r="E818" s="25"/>
    </row>
    <row r="819">
      <c r="A819" s="13"/>
      <c r="D819" s="25"/>
      <c r="E819" s="25"/>
    </row>
    <row r="820">
      <c r="A820" s="13"/>
      <c r="D820" s="25"/>
      <c r="E820" s="25"/>
    </row>
    <row r="821">
      <c r="A821" s="13"/>
      <c r="D821" s="25"/>
      <c r="E821" s="25"/>
    </row>
    <row r="822">
      <c r="A822" s="13"/>
      <c r="D822" s="25"/>
      <c r="E822" s="25"/>
    </row>
    <row r="823">
      <c r="A823" s="13"/>
      <c r="D823" s="25"/>
      <c r="E823" s="25"/>
    </row>
    <row r="824">
      <c r="A824" s="13"/>
      <c r="D824" s="25"/>
      <c r="E824" s="25"/>
    </row>
    <row r="825">
      <c r="A825" s="13"/>
      <c r="D825" s="25"/>
      <c r="E825" s="25"/>
    </row>
    <row r="826">
      <c r="A826" s="13"/>
      <c r="D826" s="25"/>
      <c r="E826" s="25"/>
    </row>
    <row r="827">
      <c r="A827" s="13"/>
      <c r="D827" s="25"/>
      <c r="E827" s="25"/>
    </row>
    <row r="828">
      <c r="A828" s="13"/>
      <c r="D828" s="25"/>
      <c r="E828" s="25"/>
    </row>
    <row r="829">
      <c r="A829" s="13"/>
      <c r="D829" s="25"/>
      <c r="E829" s="25"/>
    </row>
    <row r="830">
      <c r="A830" s="13"/>
      <c r="D830" s="25"/>
      <c r="E830" s="25"/>
    </row>
    <row r="831">
      <c r="A831" s="13"/>
      <c r="D831" s="25"/>
      <c r="E831" s="25"/>
    </row>
    <row r="832">
      <c r="A832" s="13"/>
      <c r="D832" s="25"/>
      <c r="E832" s="25"/>
    </row>
    <row r="833">
      <c r="A833" s="13"/>
      <c r="D833" s="25"/>
      <c r="E833" s="25"/>
    </row>
    <row r="834">
      <c r="A834" s="13"/>
      <c r="D834" s="25"/>
      <c r="E834" s="25"/>
    </row>
    <row r="835">
      <c r="A835" s="13"/>
      <c r="D835" s="25"/>
      <c r="E835" s="25"/>
    </row>
    <row r="836">
      <c r="A836" s="13"/>
      <c r="D836" s="25"/>
      <c r="E836" s="25"/>
    </row>
    <row r="837">
      <c r="A837" s="13"/>
      <c r="D837" s="25"/>
      <c r="E837" s="25"/>
    </row>
    <row r="838">
      <c r="A838" s="13"/>
      <c r="D838" s="25"/>
      <c r="E838" s="25"/>
    </row>
    <row r="839">
      <c r="A839" s="13"/>
      <c r="D839" s="25"/>
      <c r="E839" s="25"/>
    </row>
    <row r="840">
      <c r="A840" s="13"/>
      <c r="D840" s="25"/>
      <c r="E840" s="25"/>
    </row>
    <row r="841">
      <c r="A841" s="13"/>
      <c r="D841" s="25"/>
      <c r="E841" s="25"/>
    </row>
    <row r="842">
      <c r="A842" s="13"/>
      <c r="D842" s="25"/>
      <c r="E842" s="25"/>
    </row>
    <row r="843">
      <c r="A843" s="13"/>
      <c r="D843" s="25"/>
      <c r="E843" s="25"/>
    </row>
    <row r="844">
      <c r="A844" s="13"/>
      <c r="D844" s="25"/>
      <c r="E844" s="25"/>
    </row>
    <row r="845">
      <c r="A845" s="13"/>
      <c r="D845" s="25"/>
      <c r="E845" s="25"/>
    </row>
    <row r="846">
      <c r="A846" s="13"/>
      <c r="D846" s="25"/>
      <c r="E846" s="25"/>
    </row>
    <row r="847">
      <c r="A847" s="13"/>
      <c r="D847" s="25"/>
      <c r="E847" s="25"/>
    </row>
    <row r="848">
      <c r="A848" s="13"/>
      <c r="D848" s="25"/>
      <c r="E848" s="25"/>
    </row>
    <row r="849">
      <c r="A849" s="13"/>
      <c r="D849" s="25"/>
      <c r="E849" s="25"/>
    </row>
    <row r="850">
      <c r="A850" s="13"/>
      <c r="D850" s="25"/>
      <c r="E850" s="25"/>
    </row>
    <row r="851">
      <c r="A851" s="13"/>
      <c r="D851" s="25"/>
      <c r="E851" s="25"/>
    </row>
    <row r="852">
      <c r="A852" s="13"/>
      <c r="D852" s="25"/>
      <c r="E852" s="25"/>
    </row>
    <row r="853">
      <c r="A853" s="13"/>
      <c r="D853" s="25"/>
      <c r="E853" s="25"/>
    </row>
    <row r="854">
      <c r="A854" s="13"/>
      <c r="D854" s="25"/>
      <c r="E854" s="25"/>
    </row>
    <row r="855">
      <c r="A855" s="13"/>
      <c r="D855" s="25"/>
      <c r="E855" s="25"/>
    </row>
    <row r="856">
      <c r="A856" s="13"/>
      <c r="D856" s="25"/>
      <c r="E856" s="25"/>
    </row>
    <row r="857">
      <c r="A857" s="13"/>
      <c r="D857" s="25"/>
      <c r="E857" s="25"/>
    </row>
    <row r="858">
      <c r="A858" s="13"/>
      <c r="D858" s="25"/>
      <c r="E858" s="25"/>
    </row>
    <row r="859">
      <c r="A859" s="13"/>
      <c r="D859" s="25"/>
      <c r="E859" s="25"/>
    </row>
    <row r="860">
      <c r="A860" s="13"/>
      <c r="D860" s="25"/>
      <c r="E860" s="25"/>
    </row>
    <row r="861">
      <c r="A861" s="13"/>
      <c r="D861" s="25"/>
      <c r="E861" s="25"/>
    </row>
    <row r="862">
      <c r="A862" s="13"/>
      <c r="D862" s="25"/>
      <c r="E862" s="25"/>
    </row>
    <row r="863">
      <c r="A863" s="13"/>
      <c r="D863" s="25"/>
      <c r="E863" s="25"/>
    </row>
    <row r="864">
      <c r="A864" s="13"/>
      <c r="D864" s="25"/>
      <c r="E864" s="25"/>
    </row>
    <row r="865">
      <c r="A865" s="13"/>
      <c r="D865" s="25"/>
      <c r="E865" s="25"/>
    </row>
    <row r="866">
      <c r="A866" s="13"/>
      <c r="D866" s="25"/>
      <c r="E866" s="25"/>
    </row>
    <row r="867">
      <c r="A867" s="13"/>
      <c r="D867" s="25"/>
      <c r="E867" s="25"/>
    </row>
    <row r="868">
      <c r="A868" s="13"/>
      <c r="D868" s="25"/>
      <c r="E868" s="25"/>
    </row>
    <row r="869">
      <c r="A869" s="13"/>
      <c r="D869" s="25"/>
      <c r="E869" s="25"/>
    </row>
    <row r="870">
      <c r="A870" s="13"/>
      <c r="D870" s="25"/>
      <c r="E870" s="25"/>
    </row>
    <row r="871">
      <c r="A871" s="13"/>
      <c r="D871" s="25"/>
      <c r="E871" s="25"/>
    </row>
    <row r="872">
      <c r="A872" s="13"/>
      <c r="D872" s="25"/>
      <c r="E872" s="25"/>
    </row>
    <row r="873">
      <c r="A873" s="13"/>
      <c r="D873" s="25"/>
      <c r="E873" s="25"/>
    </row>
    <row r="874">
      <c r="A874" s="13"/>
      <c r="D874" s="25"/>
      <c r="E874" s="25"/>
    </row>
    <row r="875">
      <c r="A875" s="13"/>
      <c r="D875" s="25"/>
      <c r="E875" s="25"/>
    </row>
    <row r="876">
      <c r="A876" s="13"/>
      <c r="D876" s="25"/>
      <c r="E876" s="25"/>
    </row>
    <row r="877">
      <c r="A877" s="13"/>
      <c r="D877" s="25"/>
      <c r="E877" s="25"/>
    </row>
    <row r="878">
      <c r="A878" s="13"/>
      <c r="D878" s="25"/>
      <c r="E878" s="25"/>
    </row>
    <row r="879">
      <c r="A879" s="13"/>
      <c r="D879" s="25"/>
      <c r="E879" s="25"/>
    </row>
    <row r="880">
      <c r="A880" s="13"/>
      <c r="D880" s="25"/>
      <c r="E880" s="25"/>
    </row>
    <row r="881">
      <c r="A881" s="13"/>
      <c r="D881" s="25"/>
      <c r="E881" s="25"/>
    </row>
    <row r="882">
      <c r="A882" s="13"/>
      <c r="D882" s="25"/>
      <c r="E882" s="25"/>
    </row>
    <row r="883">
      <c r="A883" s="13"/>
      <c r="D883" s="25"/>
      <c r="E883" s="25"/>
    </row>
    <row r="884">
      <c r="A884" s="13"/>
      <c r="D884" s="25"/>
      <c r="E884" s="25"/>
    </row>
    <row r="885">
      <c r="A885" s="13"/>
      <c r="D885" s="25"/>
      <c r="E885" s="25"/>
    </row>
    <row r="886">
      <c r="A886" s="13"/>
      <c r="D886" s="25"/>
      <c r="E886" s="25"/>
    </row>
    <row r="887">
      <c r="A887" s="13"/>
      <c r="D887" s="25"/>
      <c r="E887" s="25"/>
    </row>
    <row r="888">
      <c r="A888" s="13"/>
      <c r="D888" s="25"/>
      <c r="E888" s="25"/>
    </row>
    <row r="889">
      <c r="A889" s="13"/>
      <c r="D889" s="25"/>
      <c r="E889" s="25"/>
    </row>
    <row r="890">
      <c r="A890" s="13"/>
      <c r="D890" s="25"/>
      <c r="E890" s="25"/>
    </row>
    <row r="891">
      <c r="A891" s="13"/>
      <c r="D891" s="25"/>
      <c r="E891" s="25"/>
    </row>
    <row r="892">
      <c r="A892" s="13"/>
      <c r="D892" s="25"/>
      <c r="E892" s="25"/>
    </row>
    <row r="893">
      <c r="A893" s="13"/>
      <c r="D893" s="25"/>
      <c r="E893" s="25"/>
    </row>
    <row r="894">
      <c r="A894" s="13"/>
      <c r="D894" s="25"/>
      <c r="E894" s="25"/>
    </row>
    <row r="895">
      <c r="A895" s="13"/>
      <c r="D895" s="25"/>
      <c r="E895" s="25"/>
    </row>
    <row r="896">
      <c r="A896" s="13"/>
      <c r="D896" s="25"/>
      <c r="E896" s="25"/>
    </row>
    <row r="897">
      <c r="A897" s="13"/>
      <c r="D897" s="25"/>
      <c r="E897" s="25"/>
    </row>
    <row r="898">
      <c r="A898" s="13"/>
      <c r="D898" s="25"/>
      <c r="E898" s="25"/>
    </row>
    <row r="899">
      <c r="A899" s="13"/>
      <c r="D899" s="25"/>
      <c r="E899" s="25"/>
    </row>
    <row r="900">
      <c r="A900" s="13"/>
      <c r="D900" s="25"/>
      <c r="E900" s="25"/>
    </row>
    <row r="901">
      <c r="A901" s="13"/>
      <c r="D901" s="25"/>
      <c r="E901" s="25"/>
    </row>
    <row r="902">
      <c r="A902" s="13"/>
      <c r="D902" s="25"/>
      <c r="E902" s="25"/>
    </row>
    <row r="903">
      <c r="A903" s="13"/>
      <c r="D903" s="25"/>
      <c r="E903" s="25"/>
    </row>
    <row r="904">
      <c r="A904" s="13"/>
      <c r="D904" s="25"/>
      <c r="E904" s="25"/>
    </row>
    <row r="905">
      <c r="A905" s="13"/>
      <c r="D905" s="25"/>
      <c r="E905" s="25"/>
    </row>
    <row r="906">
      <c r="A906" s="13"/>
      <c r="D906" s="25"/>
      <c r="E906" s="25"/>
    </row>
    <row r="907">
      <c r="A907" s="13"/>
      <c r="D907" s="25"/>
      <c r="E907" s="25"/>
    </row>
    <row r="908">
      <c r="A908" s="13"/>
      <c r="D908" s="25"/>
      <c r="E908" s="25"/>
    </row>
    <row r="909">
      <c r="A909" s="13"/>
      <c r="D909" s="25"/>
      <c r="E909" s="25"/>
    </row>
    <row r="910">
      <c r="A910" s="13"/>
      <c r="D910" s="25"/>
      <c r="E910" s="25"/>
    </row>
    <row r="911">
      <c r="A911" s="13"/>
      <c r="D911" s="25"/>
      <c r="E911" s="25"/>
    </row>
    <row r="912">
      <c r="A912" s="13"/>
      <c r="D912" s="25"/>
      <c r="E912" s="25"/>
    </row>
    <row r="913">
      <c r="A913" s="13"/>
      <c r="D913" s="25"/>
      <c r="E913" s="25"/>
    </row>
    <row r="914">
      <c r="A914" s="13"/>
      <c r="D914" s="25"/>
      <c r="E914" s="25"/>
    </row>
    <row r="915">
      <c r="A915" s="13"/>
      <c r="D915" s="25"/>
      <c r="E915" s="25"/>
    </row>
    <row r="916">
      <c r="A916" s="13"/>
      <c r="D916" s="25"/>
      <c r="E916" s="25"/>
    </row>
    <row r="917">
      <c r="A917" s="13"/>
      <c r="D917" s="25"/>
      <c r="E917" s="25"/>
    </row>
    <row r="918">
      <c r="A918" s="13"/>
      <c r="D918" s="25"/>
      <c r="E918" s="25"/>
    </row>
    <row r="919">
      <c r="A919" s="13"/>
      <c r="D919" s="25"/>
      <c r="E919" s="25"/>
    </row>
    <row r="920">
      <c r="A920" s="13"/>
      <c r="D920" s="25"/>
      <c r="E920" s="25"/>
    </row>
    <row r="921">
      <c r="A921" s="13"/>
      <c r="D921" s="25"/>
      <c r="E921" s="25"/>
    </row>
    <row r="922">
      <c r="A922" s="13"/>
      <c r="D922" s="25"/>
      <c r="E922" s="25"/>
    </row>
    <row r="923">
      <c r="A923" s="13"/>
      <c r="D923" s="25"/>
      <c r="E923" s="25"/>
    </row>
    <row r="924">
      <c r="A924" s="13"/>
      <c r="D924" s="25"/>
      <c r="E924" s="25"/>
    </row>
    <row r="925">
      <c r="A925" s="13"/>
      <c r="D925" s="25"/>
      <c r="E925" s="25"/>
    </row>
    <row r="926">
      <c r="A926" s="13"/>
      <c r="D926" s="25"/>
      <c r="E926" s="25"/>
    </row>
    <row r="927">
      <c r="A927" s="13"/>
      <c r="D927" s="25"/>
      <c r="E927" s="25"/>
    </row>
    <row r="928">
      <c r="A928" s="13"/>
      <c r="D928" s="25"/>
      <c r="E928" s="25"/>
    </row>
    <row r="929">
      <c r="A929" s="13"/>
      <c r="D929" s="25"/>
      <c r="E929" s="25"/>
    </row>
    <row r="930">
      <c r="A930" s="13"/>
      <c r="D930" s="25"/>
      <c r="E930" s="25"/>
    </row>
    <row r="931">
      <c r="A931" s="13"/>
      <c r="D931" s="25"/>
      <c r="E931" s="25"/>
    </row>
    <row r="932">
      <c r="A932" s="13"/>
      <c r="D932" s="25"/>
      <c r="E932" s="25"/>
    </row>
    <row r="933">
      <c r="A933" s="13"/>
      <c r="D933" s="25"/>
      <c r="E933" s="25"/>
    </row>
    <row r="934">
      <c r="A934" s="13"/>
      <c r="D934" s="25"/>
      <c r="E934" s="25"/>
    </row>
    <row r="935">
      <c r="A935" s="13"/>
      <c r="D935" s="25"/>
      <c r="E935" s="25"/>
    </row>
    <row r="936">
      <c r="A936" s="13"/>
      <c r="D936" s="25"/>
      <c r="E936" s="25"/>
    </row>
    <row r="937">
      <c r="A937" s="13"/>
      <c r="D937" s="25"/>
      <c r="E937" s="25"/>
    </row>
    <row r="938">
      <c r="A938" s="13"/>
      <c r="D938" s="25"/>
      <c r="E938" s="25"/>
    </row>
    <row r="939">
      <c r="A939" s="13"/>
      <c r="D939" s="25"/>
      <c r="E939" s="25"/>
    </row>
    <row r="940">
      <c r="A940" s="13"/>
      <c r="D940" s="25"/>
      <c r="E940" s="25"/>
    </row>
    <row r="941">
      <c r="A941" s="13"/>
      <c r="D941" s="25"/>
      <c r="E941" s="25"/>
    </row>
    <row r="942">
      <c r="A942" s="13"/>
      <c r="D942" s="25"/>
      <c r="E942" s="25"/>
    </row>
    <row r="943">
      <c r="A943" s="13"/>
      <c r="D943" s="25"/>
      <c r="E943" s="25"/>
    </row>
    <row r="944">
      <c r="A944" s="13"/>
      <c r="D944" s="25"/>
      <c r="E944" s="25"/>
    </row>
    <row r="945">
      <c r="A945" s="13"/>
      <c r="D945" s="25"/>
      <c r="E945" s="25"/>
    </row>
    <row r="946">
      <c r="A946" s="13"/>
      <c r="D946" s="25"/>
      <c r="E946" s="25"/>
    </row>
    <row r="947">
      <c r="A947" s="13"/>
      <c r="D947" s="25"/>
      <c r="E947" s="25"/>
    </row>
    <row r="948">
      <c r="A948" s="13"/>
      <c r="D948" s="25"/>
      <c r="E948" s="25"/>
    </row>
    <row r="949">
      <c r="A949" s="13"/>
      <c r="D949" s="25"/>
      <c r="E949" s="25"/>
    </row>
    <row r="950">
      <c r="A950" s="13"/>
      <c r="D950" s="25"/>
      <c r="E950" s="25"/>
    </row>
    <row r="951">
      <c r="A951" s="13"/>
      <c r="D951" s="25"/>
      <c r="E951" s="25"/>
    </row>
    <row r="952">
      <c r="A952" s="13"/>
      <c r="D952" s="25"/>
      <c r="E952" s="25"/>
    </row>
    <row r="953">
      <c r="A953" s="13"/>
      <c r="D953" s="25"/>
      <c r="E953" s="25"/>
    </row>
    <row r="954">
      <c r="A954" s="13"/>
      <c r="D954" s="25"/>
      <c r="E954" s="25"/>
    </row>
    <row r="955">
      <c r="A955" s="13"/>
      <c r="D955" s="25"/>
      <c r="E955" s="25"/>
    </row>
    <row r="956">
      <c r="A956" s="13"/>
      <c r="D956" s="25"/>
      <c r="E956" s="25"/>
    </row>
    <row r="957">
      <c r="A957" s="13"/>
      <c r="D957" s="25"/>
      <c r="E957" s="25"/>
    </row>
    <row r="958">
      <c r="A958" s="13"/>
      <c r="D958" s="25"/>
      <c r="E958" s="25"/>
    </row>
    <row r="959">
      <c r="A959" s="13"/>
      <c r="D959" s="25"/>
      <c r="E959" s="25"/>
    </row>
    <row r="960">
      <c r="A960" s="13"/>
      <c r="D960" s="25"/>
      <c r="E960" s="25"/>
    </row>
    <row r="961">
      <c r="A961" s="13"/>
      <c r="D961" s="25"/>
      <c r="E961" s="25"/>
    </row>
    <row r="962">
      <c r="A962" s="13"/>
      <c r="D962" s="25"/>
      <c r="E962" s="25"/>
    </row>
    <row r="963">
      <c r="A963" s="13"/>
      <c r="D963" s="25"/>
      <c r="E963" s="25"/>
    </row>
    <row r="964">
      <c r="A964" s="13"/>
      <c r="D964" s="25"/>
      <c r="E964" s="25"/>
    </row>
    <row r="965">
      <c r="A965" s="13"/>
      <c r="D965" s="25"/>
      <c r="E965" s="25"/>
    </row>
    <row r="966">
      <c r="A966" s="13"/>
      <c r="D966" s="25"/>
      <c r="E966" s="25"/>
    </row>
    <row r="967">
      <c r="A967" s="13"/>
      <c r="D967" s="25"/>
      <c r="E967" s="25"/>
    </row>
    <row r="968">
      <c r="A968" s="13"/>
      <c r="D968" s="25"/>
      <c r="E968" s="25"/>
    </row>
    <row r="969">
      <c r="A969" s="13"/>
      <c r="D969" s="25"/>
      <c r="E969" s="25"/>
    </row>
    <row r="970">
      <c r="A970" s="13"/>
      <c r="D970" s="25"/>
      <c r="E970" s="25"/>
    </row>
    <row r="971">
      <c r="A971" s="13"/>
      <c r="D971" s="25"/>
      <c r="E971" s="25"/>
    </row>
    <row r="972">
      <c r="A972" s="13"/>
      <c r="D972" s="25"/>
      <c r="E972" s="25"/>
    </row>
    <row r="973">
      <c r="A973" s="13"/>
      <c r="D973" s="25"/>
      <c r="E973" s="25"/>
    </row>
    <row r="974">
      <c r="A974" s="13"/>
      <c r="D974" s="25"/>
      <c r="E974" s="25"/>
    </row>
    <row r="975">
      <c r="A975" s="13"/>
      <c r="D975" s="25"/>
      <c r="E975" s="25"/>
    </row>
    <row r="976">
      <c r="A976" s="13"/>
      <c r="D976" s="25"/>
      <c r="E976" s="25"/>
    </row>
    <row r="977">
      <c r="A977" s="13"/>
      <c r="D977" s="25"/>
      <c r="E977" s="25"/>
    </row>
    <row r="978">
      <c r="A978" s="13"/>
      <c r="D978" s="25"/>
      <c r="E978" s="25"/>
    </row>
    <row r="979">
      <c r="A979" s="13"/>
      <c r="D979" s="25"/>
      <c r="E979" s="25"/>
    </row>
    <row r="980">
      <c r="A980" s="13"/>
      <c r="D980" s="25"/>
      <c r="E980" s="25"/>
    </row>
    <row r="981">
      <c r="A981" s="13"/>
      <c r="D981" s="25"/>
      <c r="E981" s="25"/>
    </row>
    <row r="982">
      <c r="A982" s="13"/>
      <c r="D982" s="25"/>
      <c r="E982" s="25"/>
    </row>
    <row r="983">
      <c r="A983" s="13"/>
      <c r="D983" s="25"/>
      <c r="E983" s="25"/>
    </row>
    <row r="984">
      <c r="A984" s="13"/>
      <c r="D984" s="25"/>
      <c r="E984" s="25"/>
    </row>
    <row r="985">
      <c r="A985" s="13"/>
      <c r="D985" s="25"/>
      <c r="E985" s="25"/>
    </row>
    <row r="986">
      <c r="A986" s="13"/>
      <c r="D986" s="25"/>
      <c r="E986" s="25"/>
    </row>
    <row r="987">
      <c r="A987" s="13"/>
      <c r="D987" s="25"/>
      <c r="E987" s="25"/>
    </row>
    <row r="988">
      <c r="A988" s="13"/>
      <c r="D988" s="25"/>
      <c r="E988" s="25"/>
    </row>
    <row r="989">
      <c r="A989" s="13"/>
      <c r="D989" s="25"/>
      <c r="E989" s="25"/>
    </row>
    <row r="990">
      <c r="A990" s="13"/>
      <c r="D990" s="25"/>
      <c r="E990" s="25"/>
    </row>
    <row r="991">
      <c r="A991" s="13"/>
      <c r="D991" s="25"/>
      <c r="E991" s="25"/>
    </row>
    <row r="992">
      <c r="A992" s="13"/>
      <c r="D992" s="25"/>
      <c r="E992" s="25"/>
    </row>
    <row r="993">
      <c r="A993" s="13"/>
      <c r="D993" s="25"/>
      <c r="E993" s="25"/>
    </row>
    <row r="994">
      <c r="A994" s="13"/>
      <c r="D994" s="25"/>
      <c r="E994" s="25"/>
    </row>
    <row r="995">
      <c r="A995" s="13"/>
      <c r="D995" s="25"/>
      <c r="E995" s="25"/>
    </row>
    <row r="996">
      <c r="A996" s="13"/>
      <c r="D996" s="25"/>
      <c r="E996" s="25"/>
    </row>
    <row r="997">
      <c r="A997" s="13"/>
      <c r="D997" s="25"/>
      <c r="E997" s="25"/>
    </row>
    <row r="998">
      <c r="A998" s="13"/>
      <c r="D998" s="25"/>
      <c r="E998" s="25"/>
    </row>
    <row r="999">
      <c r="A999" s="13"/>
      <c r="D999" s="25"/>
      <c r="E999" s="25"/>
    </row>
    <row r="1000">
      <c r="A1000" s="13"/>
      <c r="D1000" s="25"/>
      <c r="E1000" s="25"/>
    </row>
  </sheetData>
  <mergeCells count="1">
    <mergeCell ref="H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0</v>
      </c>
      <c r="B1" s="45" t="s">
        <v>33</v>
      </c>
      <c r="C1" s="46" t="s">
        <v>34</v>
      </c>
      <c r="H1" s="13"/>
    </row>
    <row r="2">
      <c r="A2" s="4">
        <v>46087.0</v>
      </c>
      <c r="B2" s="15">
        <v>6736.37</v>
      </c>
      <c r="C2" s="47">
        <f t="shared" ref="C2:C54" si="1">B2/B3-1</f>
        <v>-0.01381115579</v>
      </c>
      <c r="E2" s="9" t="s">
        <v>35</v>
      </c>
      <c r="H2" s="1" t="s">
        <v>0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11"/>
    </row>
    <row r="3">
      <c r="A3" s="4">
        <v>46083.0</v>
      </c>
      <c r="B3" s="15">
        <v>6830.71</v>
      </c>
      <c r="C3" s="47">
        <f t="shared" si="1"/>
        <v>-0.007002593445</v>
      </c>
      <c r="E3" s="48"/>
      <c r="H3" s="4">
        <v>46087.0</v>
      </c>
      <c r="I3" s="15">
        <v>6769.03</v>
      </c>
      <c r="J3" s="15">
        <v>6769.03</v>
      </c>
      <c r="K3" s="15">
        <v>6736.19</v>
      </c>
      <c r="L3" s="15">
        <v>6736.37</v>
      </c>
      <c r="M3" s="15">
        <v>6736.37</v>
      </c>
      <c r="N3" s="7">
        <v>1.16479552E8</v>
      </c>
      <c r="O3" s="11"/>
    </row>
    <row r="4">
      <c r="A4" s="4">
        <v>46076.0</v>
      </c>
      <c r="B4" s="15">
        <v>6878.88</v>
      </c>
      <c r="C4" s="47">
        <f t="shared" si="1"/>
        <v>-0.004433020576</v>
      </c>
      <c r="E4" s="49" t="s">
        <v>36</v>
      </c>
      <c r="H4" s="4">
        <v>46083.0</v>
      </c>
      <c r="I4" s="15">
        <v>6824.36</v>
      </c>
      <c r="J4" s="15">
        <v>6901.01</v>
      </c>
      <c r="K4" s="15">
        <v>6710.42</v>
      </c>
      <c r="L4" s="15">
        <v>6830.71</v>
      </c>
      <c r="M4" s="15">
        <v>6830.71</v>
      </c>
      <c r="N4" s="7">
        <v>2.376263E10</v>
      </c>
      <c r="O4" s="11"/>
    </row>
    <row r="5">
      <c r="A5" s="4">
        <v>46069.0</v>
      </c>
      <c r="B5" s="15">
        <v>6909.51</v>
      </c>
      <c r="C5" s="47">
        <f t="shared" si="1"/>
        <v>0.0107282294</v>
      </c>
      <c r="H5" s="4">
        <v>46076.0</v>
      </c>
      <c r="I5" s="15">
        <v>6901.25</v>
      </c>
      <c r="J5" s="15">
        <v>6952.51</v>
      </c>
      <c r="K5" s="15">
        <v>6815.43</v>
      </c>
      <c r="L5" s="15">
        <v>6878.88</v>
      </c>
      <c r="M5" s="15">
        <v>6878.88</v>
      </c>
      <c r="N5" s="7">
        <v>2.878771E10</v>
      </c>
      <c r="O5" s="11"/>
    </row>
    <row r="6">
      <c r="A6" s="4">
        <v>46062.0</v>
      </c>
      <c r="B6" s="15">
        <v>6836.17</v>
      </c>
      <c r="C6" s="47">
        <f t="shared" si="1"/>
        <v>-0.01386697056</v>
      </c>
      <c r="H6" s="4">
        <v>46069.0</v>
      </c>
      <c r="I6" s="15">
        <v>6819.86</v>
      </c>
      <c r="J6" s="15">
        <v>6915.86</v>
      </c>
      <c r="K6" s="15">
        <v>6775.5</v>
      </c>
      <c r="L6" s="15">
        <v>6909.51</v>
      </c>
      <c r="M6" s="15">
        <v>6909.51</v>
      </c>
      <c r="N6" s="7">
        <v>2.110081E10</v>
      </c>
      <c r="O6" s="11"/>
    </row>
    <row r="7">
      <c r="A7" s="4">
        <v>46055.0</v>
      </c>
      <c r="B7" s="15">
        <v>6932.3</v>
      </c>
      <c r="C7" s="47">
        <f t="shared" si="1"/>
        <v>-0.0009698761931</v>
      </c>
      <c r="H7" s="4">
        <v>46062.0</v>
      </c>
      <c r="I7" s="15">
        <v>6917.26</v>
      </c>
      <c r="J7" s="15">
        <v>6993.48</v>
      </c>
      <c r="K7" s="15">
        <v>6794.55</v>
      </c>
      <c r="L7" s="15">
        <v>6836.17</v>
      </c>
      <c r="M7" s="15">
        <v>6836.17</v>
      </c>
      <c r="N7" s="7">
        <v>3.025878E10</v>
      </c>
      <c r="O7" s="11"/>
    </row>
    <row r="8">
      <c r="A8" s="4">
        <v>46048.0</v>
      </c>
      <c r="B8" s="15">
        <v>6939.03</v>
      </c>
      <c r="C8" s="47">
        <f t="shared" si="1"/>
        <v>0.003386541462</v>
      </c>
      <c r="H8" s="4">
        <v>46055.0</v>
      </c>
      <c r="I8" s="15">
        <v>6916.64</v>
      </c>
      <c r="J8" s="15">
        <v>6993.08</v>
      </c>
      <c r="K8" s="15">
        <v>6780.13</v>
      </c>
      <c r="L8" s="15">
        <v>6932.3</v>
      </c>
      <c r="M8" s="15">
        <v>6932.3</v>
      </c>
      <c r="N8" s="7">
        <v>3.353826E10</v>
      </c>
      <c r="O8" s="11"/>
    </row>
    <row r="9">
      <c r="A9" s="4">
        <v>46041.0</v>
      </c>
      <c r="B9" s="15">
        <v>6915.61</v>
      </c>
      <c r="C9" s="47">
        <f t="shared" si="1"/>
        <v>-0.003515845078</v>
      </c>
      <c r="H9" s="4">
        <v>46048.0</v>
      </c>
      <c r="I9" s="15">
        <v>6923.23</v>
      </c>
      <c r="J9" s="15">
        <v>7002.28</v>
      </c>
      <c r="K9" s="15">
        <v>6870.8</v>
      </c>
      <c r="L9" s="15">
        <v>6939.03</v>
      </c>
      <c r="M9" s="15">
        <v>6939.03</v>
      </c>
      <c r="N9" s="7">
        <v>2.938256E10</v>
      </c>
      <c r="O9" s="11"/>
    </row>
    <row r="10">
      <c r="A10" s="4">
        <v>46034.0</v>
      </c>
      <c r="B10" s="15">
        <v>6940.01</v>
      </c>
      <c r="C10" s="47">
        <f t="shared" si="1"/>
        <v>-0.003771022698</v>
      </c>
      <c r="H10" s="4">
        <v>46041.0</v>
      </c>
      <c r="I10" s="15">
        <v>6865.24</v>
      </c>
      <c r="J10" s="15">
        <v>6934.75</v>
      </c>
      <c r="K10" s="15">
        <v>6789.05</v>
      </c>
      <c r="L10" s="15">
        <v>6915.61</v>
      </c>
      <c r="M10" s="15">
        <v>6915.61</v>
      </c>
      <c r="N10" s="7">
        <v>2.178453E10</v>
      </c>
      <c r="O10" s="11"/>
    </row>
    <row r="11">
      <c r="A11" s="4">
        <v>46027.0</v>
      </c>
      <c r="B11" s="15">
        <v>6966.28</v>
      </c>
      <c r="C11" s="47">
        <f t="shared" si="1"/>
        <v>0.01571924934</v>
      </c>
      <c r="H11" s="4">
        <v>46034.0</v>
      </c>
      <c r="I11" s="15">
        <v>6944.12</v>
      </c>
      <c r="J11" s="15">
        <v>6986.33</v>
      </c>
      <c r="K11" s="15">
        <v>6885.74</v>
      </c>
      <c r="L11" s="15">
        <v>6940.01</v>
      </c>
      <c r="M11" s="15">
        <v>6940.01</v>
      </c>
      <c r="N11" s="7">
        <v>2.61122E10</v>
      </c>
      <c r="O11" s="11"/>
    </row>
    <row r="12">
      <c r="A12" s="4">
        <v>46020.0</v>
      </c>
      <c r="B12" s="15">
        <v>6858.47</v>
      </c>
      <c r="C12" s="47">
        <f t="shared" si="1"/>
        <v>-0.01031322061</v>
      </c>
      <c r="H12" s="4">
        <v>46027.0</v>
      </c>
      <c r="I12" s="15">
        <v>6892.19</v>
      </c>
      <c r="J12" s="15">
        <v>6978.36</v>
      </c>
      <c r="K12" s="15">
        <v>6891.56</v>
      </c>
      <c r="L12" s="15">
        <v>6966.28</v>
      </c>
      <c r="M12" s="15">
        <v>6966.28</v>
      </c>
      <c r="N12" s="7">
        <v>2.699319E10</v>
      </c>
      <c r="O12" s="11"/>
    </row>
    <row r="13">
      <c r="A13" s="4">
        <v>46013.0</v>
      </c>
      <c r="B13" s="15">
        <v>6929.94</v>
      </c>
      <c r="C13" s="47">
        <f t="shared" si="1"/>
        <v>0.01396444509</v>
      </c>
      <c r="H13" s="4">
        <v>46020.0</v>
      </c>
      <c r="I13" s="15">
        <v>6903.6</v>
      </c>
      <c r="J13" s="15">
        <v>6920.21</v>
      </c>
      <c r="K13" s="15">
        <v>6824.31</v>
      </c>
      <c r="L13" s="15">
        <v>6858.47</v>
      </c>
      <c r="M13" s="15">
        <v>6858.47</v>
      </c>
      <c r="N13" s="7">
        <v>1.429763E10</v>
      </c>
      <c r="O13" s="11"/>
    </row>
    <row r="14">
      <c r="A14" s="4">
        <v>46006.0</v>
      </c>
      <c r="B14" s="15">
        <v>6834.5</v>
      </c>
      <c r="C14" s="47">
        <f t="shared" si="1"/>
        <v>0.001038461144</v>
      </c>
      <c r="H14" s="4">
        <v>46013.0</v>
      </c>
      <c r="I14" s="15">
        <v>6865.21</v>
      </c>
      <c r="J14" s="15">
        <v>6945.77</v>
      </c>
      <c r="K14" s="15">
        <v>6855.74</v>
      </c>
      <c r="L14" s="15">
        <v>6929.94</v>
      </c>
      <c r="M14" s="15">
        <v>6929.94</v>
      </c>
      <c r="N14" s="7">
        <v>1.267041E10</v>
      </c>
      <c r="O14" s="11"/>
    </row>
    <row r="15">
      <c r="A15" s="4">
        <v>45999.0</v>
      </c>
      <c r="B15" s="15">
        <v>6827.41</v>
      </c>
      <c r="C15" s="47">
        <f t="shared" si="1"/>
        <v>-0.006257277597</v>
      </c>
      <c r="H15" s="4">
        <v>46006.0</v>
      </c>
      <c r="I15" s="15">
        <v>6860.19</v>
      </c>
      <c r="J15" s="15">
        <v>6861.59</v>
      </c>
      <c r="K15" s="15">
        <v>6720.43</v>
      </c>
      <c r="L15" s="15">
        <v>6834.5</v>
      </c>
      <c r="M15" s="15">
        <v>6834.5</v>
      </c>
      <c r="N15" s="7">
        <v>2.873656E10</v>
      </c>
      <c r="O15" s="11"/>
    </row>
    <row r="16">
      <c r="A16" s="4">
        <v>45992.0</v>
      </c>
      <c r="B16" s="15">
        <v>6870.4</v>
      </c>
      <c r="C16" s="47">
        <f t="shared" si="1"/>
        <v>0.003111362239</v>
      </c>
      <c r="H16" s="4">
        <v>45999.0</v>
      </c>
      <c r="I16" s="15">
        <v>6875.2</v>
      </c>
      <c r="J16" s="15">
        <v>6903.46</v>
      </c>
      <c r="K16" s="15">
        <v>6801.79</v>
      </c>
      <c r="L16" s="15">
        <v>6827.41</v>
      </c>
      <c r="M16" s="15">
        <v>6827.41</v>
      </c>
      <c r="N16" s="7">
        <v>2.472297E10</v>
      </c>
      <c r="O16" s="11"/>
    </row>
    <row r="17">
      <c r="A17" s="4">
        <v>45985.0</v>
      </c>
      <c r="B17" s="15">
        <v>6849.09</v>
      </c>
      <c r="C17" s="47">
        <f t="shared" si="1"/>
        <v>0.0372709939</v>
      </c>
      <c r="H17" s="4">
        <v>45992.0</v>
      </c>
      <c r="I17" s="15">
        <v>6812.3</v>
      </c>
      <c r="J17" s="15">
        <v>6895.78</v>
      </c>
      <c r="K17" s="15">
        <v>6799.94</v>
      </c>
      <c r="L17" s="15">
        <v>6870.4</v>
      </c>
      <c r="M17" s="15">
        <v>6870.4</v>
      </c>
      <c r="N17" s="7">
        <v>2.368544E10</v>
      </c>
      <c r="O17" s="11"/>
    </row>
    <row r="18">
      <c r="A18" s="4">
        <v>45978.0</v>
      </c>
      <c r="B18" s="15">
        <v>6602.99</v>
      </c>
      <c r="C18" s="47">
        <f t="shared" si="1"/>
        <v>-0.01947102141</v>
      </c>
      <c r="H18" s="4">
        <v>45985.0</v>
      </c>
      <c r="I18" s="15">
        <v>6636.54</v>
      </c>
      <c r="J18" s="15">
        <v>6850.86</v>
      </c>
      <c r="K18" s="15">
        <v>6630.7</v>
      </c>
      <c r="L18" s="15">
        <v>6849.09</v>
      </c>
      <c r="M18" s="15">
        <v>6849.09</v>
      </c>
      <c r="N18" s="7">
        <v>1.808661E10</v>
      </c>
      <c r="O18" s="11"/>
    </row>
    <row r="19">
      <c r="A19" s="4">
        <v>45971.0</v>
      </c>
      <c r="B19" s="15">
        <v>6734.11</v>
      </c>
      <c r="C19" s="47">
        <f t="shared" si="1"/>
        <v>0.000789145167</v>
      </c>
      <c r="H19" s="4">
        <v>45978.0</v>
      </c>
      <c r="I19" s="15">
        <v>6713.61</v>
      </c>
      <c r="J19" s="15">
        <v>6770.35</v>
      </c>
      <c r="K19" s="15">
        <v>6521.92</v>
      </c>
      <c r="L19" s="15">
        <v>6602.99</v>
      </c>
      <c r="M19" s="15">
        <v>6602.99</v>
      </c>
      <c r="N19" s="7">
        <v>2.691123E10</v>
      </c>
      <c r="O19" s="11"/>
    </row>
    <row r="20">
      <c r="A20" s="4">
        <v>45964.0</v>
      </c>
      <c r="B20" s="15">
        <v>6728.8</v>
      </c>
      <c r="C20" s="47">
        <f t="shared" si="1"/>
        <v>-0.01628607351</v>
      </c>
      <c r="H20" s="4">
        <v>45971.0</v>
      </c>
      <c r="I20" s="15">
        <v>6785.36</v>
      </c>
      <c r="J20" s="15">
        <v>6869.91</v>
      </c>
      <c r="K20" s="15">
        <v>6646.87</v>
      </c>
      <c r="L20" s="15">
        <v>6734.11</v>
      </c>
      <c r="M20" s="15">
        <v>6734.11</v>
      </c>
      <c r="N20" s="7">
        <v>2.615953E10</v>
      </c>
      <c r="O20" s="11"/>
    </row>
    <row r="21">
      <c r="A21" s="4">
        <v>45957.0</v>
      </c>
      <c r="B21" s="15">
        <v>6840.2</v>
      </c>
      <c r="C21" s="47">
        <f t="shared" si="1"/>
        <v>0.007142552148</v>
      </c>
      <c r="H21" s="4">
        <v>45964.0</v>
      </c>
      <c r="I21" s="15">
        <v>6882.32</v>
      </c>
      <c r="J21" s="15">
        <v>6882.32</v>
      </c>
      <c r="K21" s="15">
        <v>6631.44</v>
      </c>
      <c r="L21" s="15">
        <v>6728.8</v>
      </c>
      <c r="M21" s="15">
        <v>6728.8</v>
      </c>
      <c r="N21" s="7">
        <v>2.97228E10</v>
      </c>
      <c r="O21" s="11"/>
    </row>
    <row r="22">
      <c r="A22" s="4">
        <v>45950.0</v>
      </c>
      <c r="B22" s="15">
        <v>6791.69</v>
      </c>
      <c r="C22" s="47">
        <f t="shared" si="1"/>
        <v>0.01915963511</v>
      </c>
      <c r="H22" s="4">
        <v>45957.0</v>
      </c>
      <c r="I22" s="15">
        <v>6845.46</v>
      </c>
      <c r="J22" s="15">
        <v>6920.34</v>
      </c>
      <c r="K22" s="15">
        <v>6814.26</v>
      </c>
      <c r="L22" s="15">
        <v>6840.2</v>
      </c>
      <c r="M22" s="15">
        <v>6840.2</v>
      </c>
      <c r="N22" s="7">
        <v>2.971769E10</v>
      </c>
      <c r="O22" s="11"/>
    </row>
    <row r="23">
      <c r="A23" s="4">
        <v>45943.0</v>
      </c>
      <c r="B23" s="15">
        <v>6664.01</v>
      </c>
      <c r="C23" s="47">
        <f t="shared" si="1"/>
        <v>0.01701637998</v>
      </c>
      <c r="H23" s="4">
        <v>45950.0</v>
      </c>
      <c r="I23" s="15">
        <v>6690.05</v>
      </c>
      <c r="J23" s="15">
        <v>6807.11</v>
      </c>
      <c r="K23" s="15">
        <v>6655.69</v>
      </c>
      <c r="L23" s="15">
        <v>6791.69</v>
      </c>
      <c r="M23" s="15">
        <v>6791.69</v>
      </c>
      <c r="N23" s="7">
        <v>2.625117E10</v>
      </c>
      <c r="O23" s="11"/>
    </row>
    <row r="24">
      <c r="A24" s="4">
        <v>45936.0</v>
      </c>
      <c r="B24" s="15">
        <v>6552.51</v>
      </c>
      <c r="C24" s="47">
        <f t="shared" si="1"/>
        <v>-0.02431285076</v>
      </c>
      <c r="H24" s="4">
        <v>45943.0</v>
      </c>
      <c r="I24" s="15">
        <v>6622.53</v>
      </c>
      <c r="J24" s="15">
        <v>6724.12</v>
      </c>
      <c r="K24" s="15">
        <v>6555.07</v>
      </c>
      <c r="L24" s="15">
        <v>6664.01</v>
      </c>
      <c r="M24" s="15">
        <v>6664.01</v>
      </c>
      <c r="N24" s="7">
        <v>2.801024E10</v>
      </c>
      <c r="O24" s="11"/>
    </row>
    <row r="25">
      <c r="A25" s="4">
        <v>45929.0</v>
      </c>
      <c r="B25" s="15">
        <v>6715.79</v>
      </c>
      <c r="C25" s="47">
        <f t="shared" si="1"/>
        <v>0.01085088129</v>
      </c>
      <c r="H25" s="4">
        <v>45936.0</v>
      </c>
      <c r="I25" s="15">
        <v>6733.86</v>
      </c>
      <c r="J25" s="15">
        <v>6764.58</v>
      </c>
      <c r="K25" s="15">
        <v>6550.78</v>
      </c>
      <c r="L25" s="15">
        <v>6552.51</v>
      </c>
      <c r="M25" s="15">
        <v>6552.51</v>
      </c>
      <c r="N25" s="7">
        <v>2.851537E10</v>
      </c>
      <c r="O25" s="11"/>
    </row>
    <row r="26">
      <c r="A26" s="4">
        <v>45922.0</v>
      </c>
      <c r="B26" s="15">
        <v>6643.7</v>
      </c>
      <c r="C26" s="47">
        <f t="shared" si="1"/>
        <v>-0.003100072625</v>
      </c>
      <c r="H26" s="4">
        <v>45929.0</v>
      </c>
      <c r="I26" s="15">
        <v>6661.58</v>
      </c>
      <c r="J26" s="15">
        <v>6750.87</v>
      </c>
      <c r="K26" s="15">
        <v>6641.0</v>
      </c>
      <c r="L26" s="15">
        <v>6715.79</v>
      </c>
      <c r="M26" s="15">
        <v>6715.79</v>
      </c>
      <c r="N26" s="7">
        <v>2.858316E10</v>
      </c>
      <c r="O26" s="11"/>
    </row>
    <row r="27">
      <c r="A27" s="4">
        <v>45915.0</v>
      </c>
      <c r="B27" s="15">
        <v>6664.36</v>
      </c>
      <c r="C27" s="47">
        <f t="shared" si="1"/>
        <v>0.01216076449</v>
      </c>
      <c r="H27" s="4">
        <v>45922.0</v>
      </c>
      <c r="I27" s="15">
        <v>6654.28</v>
      </c>
      <c r="J27" s="15">
        <v>6699.52</v>
      </c>
      <c r="K27" s="15">
        <v>6569.22</v>
      </c>
      <c r="L27" s="15">
        <v>6643.7</v>
      </c>
      <c r="M27" s="15">
        <v>6643.7</v>
      </c>
      <c r="N27" s="7">
        <v>2.77132E10</v>
      </c>
      <c r="O27" s="11"/>
    </row>
    <row r="28">
      <c r="A28" s="4">
        <v>45908.0</v>
      </c>
      <c r="B28" s="15">
        <v>6584.29</v>
      </c>
      <c r="C28" s="47">
        <f t="shared" si="1"/>
        <v>0.01585898326</v>
      </c>
      <c r="H28" s="4">
        <v>45915.0</v>
      </c>
      <c r="I28" s="15">
        <v>6603.49</v>
      </c>
      <c r="J28" s="15">
        <v>6671.82</v>
      </c>
      <c r="K28" s="15">
        <v>6551.15</v>
      </c>
      <c r="L28" s="15">
        <v>6664.36</v>
      </c>
      <c r="M28" s="15">
        <v>6664.36</v>
      </c>
      <c r="N28" s="7">
        <v>3.062823E10</v>
      </c>
      <c r="O28" s="11"/>
    </row>
    <row r="29">
      <c r="A29" s="4">
        <v>45901.0</v>
      </c>
      <c r="B29" s="15">
        <v>6481.5</v>
      </c>
      <c r="C29" s="47">
        <f t="shared" si="1"/>
        <v>0.003287793371</v>
      </c>
      <c r="H29" s="4">
        <v>45908.0</v>
      </c>
      <c r="I29" s="15">
        <v>6498.09</v>
      </c>
      <c r="J29" s="15">
        <v>6600.21</v>
      </c>
      <c r="K29" s="15">
        <v>6483.08</v>
      </c>
      <c r="L29" s="15">
        <v>6584.29</v>
      </c>
      <c r="M29" s="15">
        <v>6584.29</v>
      </c>
      <c r="N29" s="7">
        <v>2.533096E10</v>
      </c>
      <c r="O29" s="11"/>
    </row>
    <row r="30">
      <c r="A30" s="4">
        <v>45894.0</v>
      </c>
      <c r="B30" s="15">
        <v>6460.26</v>
      </c>
      <c r="C30" s="47">
        <f t="shared" si="1"/>
        <v>-0.001028311821</v>
      </c>
      <c r="H30" s="4">
        <v>45901.0</v>
      </c>
      <c r="I30" s="15">
        <v>6401.51</v>
      </c>
      <c r="J30" s="15">
        <v>6532.65</v>
      </c>
      <c r="K30" s="15">
        <v>6360.58</v>
      </c>
      <c r="L30" s="15">
        <v>6481.5</v>
      </c>
      <c r="M30" s="15">
        <v>6481.5</v>
      </c>
      <c r="N30" s="7">
        <v>1.898625E10</v>
      </c>
      <c r="O30" s="11"/>
    </row>
    <row r="31">
      <c r="A31" s="4">
        <v>45887.0</v>
      </c>
      <c r="B31" s="15">
        <v>6466.91</v>
      </c>
      <c r="C31" s="47">
        <f t="shared" si="1"/>
        <v>0.002652795436</v>
      </c>
      <c r="H31" s="4">
        <v>45894.0</v>
      </c>
      <c r="I31" s="15">
        <v>6457.67</v>
      </c>
      <c r="J31" s="15">
        <v>6508.23</v>
      </c>
      <c r="K31" s="15">
        <v>6429.21</v>
      </c>
      <c r="L31" s="15">
        <v>6460.26</v>
      </c>
      <c r="M31" s="15">
        <v>6460.26</v>
      </c>
      <c r="N31" s="7">
        <v>2.158903E10</v>
      </c>
      <c r="O31" s="11"/>
    </row>
    <row r="32">
      <c r="A32" s="4">
        <v>45880.0</v>
      </c>
      <c r="B32" s="15">
        <v>6449.8</v>
      </c>
      <c r="C32" s="47">
        <f t="shared" si="1"/>
        <v>0.009445257417</v>
      </c>
      <c r="H32" s="4">
        <v>45887.0</v>
      </c>
      <c r="I32" s="15">
        <v>6445.02</v>
      </c>
      <c r="J32" s="15">
        <v>6478.89</v>
      </c>
      <c r="K32" s="15">
        <v>6343.86</v>
      </c>
      <c r="L32" s="15">
        <v>6466.91</v>
      </c>
      <c r="M32" s="15">
        <v>6466.91</v>
      </c>
      <c r="N32" s="7">
        <v>2.207054E10</v>
      </c>
      <c r="O32" s="11"/>
    </row>
    <row r="33">
      <c r="A33" s="4">
        <v>45873.0</v>
      </c>
      <c r="B33" s="15">
        <v>6389.45</v>
      </c>
      <c r="C33" s="47">
        <f t="shared" si="1"/>
        <v>0.02427697294</v>
      </c>
      <c r="H33" s="4">
        <v>45880.0</v>
      </c>
      <c r="I33" s="15">
        <v>6389.67</v>
      </c>
      <c r="J33" s="15">
        <v>6481.34</v>
      </c>
      <c r="K33" s="15">
        <v>6364.06</v>
      </c>
      <c r="L33" s="15">
        <v>6449.8</v>
      </c>
      <c r="M33" s="15">
        <v>6449.8</v>
      </c>
      <c r="N33" s="7">
        <v>2.402076E10</v>
      </c>
      <c r="O33" s="11"/>
    </row>
    <row r="34">
      <c r="A34" s="4">
        <v>45866.0</v>
      </c>
      <c r="B34" s="15">
        <v>6238.01</v>
      </c>
      <c r="C34" s="47">
        <f t="shared" si="1"/>
        <v>-0.02357778807</v>
      </c>
      <c r="H34" s="4">
        <v>45873.0</v>
      </c>
      <c r="I34" s="15">
        <v>6271.71</v>
      </c>
      <c r="J34" s="15">
        <v>6395.16</v>
      </c>
      <c r="K34" s="15">
        <v>6271.71</v>
      </c>
      <c r="L34" s="15">
        <v>6389.45</v>
      </c>
      <c r="M34" s="15">
        <v>6389.45</v>
      </c>
      <c r="N34" s="7">
        <v>2.584455E10</v>
      </c>
      <c r="O34" s="11"/>
    </row>
    <row r="35">
      <c r="A35" s="4">
        <v>45859.0</v>
      </c>
      <c r="B35" s="15">
        <v>6388.64</v>
      </c>
      <c r="C35" s="47">
        <f t="shared" si="1"/>
        <v>0.0145867974</v>
      </c>
      <c r="H35" s="4">
        <v>45866.0</v>
      </c>
      <c r="I35" s="15">
        <v>6397.69</v>
      </c>
      <c r="J35" s="15">
        <v>6427.02</v>
      </c>
      <c r="K35" s="15">
        <v>6212.69</v>
      </c>
      <c r="L35" s="15">
        <v>6238.01</v>
      </c>
      <c r="M35" s="15">
        <v>6238.01</v>
      </c>
      <c r="N35" s="7">
        <v>2.692104E10</v>
      </c>
      <c r="O35" s="11"/>
    </row>
    <row r="36">
      <c r="A36" s="4">
        <v>45852.0</v>
      </c>
      <c r="B36" s="15">
        <v>6296.79</v>
      </c>
      <c r="C36" s="47">
        <f t="shared" si="1"/>
        <v>0.005917169216</v>
      </c>
      <c r="H36" s="4">
        <v>45859.0</v>
      </c>
      <c r="I36" s="15">
        <v>6304.74</v>
      </c>
      <c r="J36" s="15">
        <v>6395.82</v>
      </c>
      <c r="K36" s="15">
        <v>6281.71</v>
      </c>
      <c r="L36" s="15">
        <v>6388.64</v>
      </c>
      <c r="M36" s="15">
        <v>6388.64</v>
      </c>
      <c r="N36" s="7">
        <v>2.606883E10</v>
      </c>
      <c r="O36" s="11"/>
    </row>
    <row r="37">
      <c r="A37" s="4">
        <v>45845.0</v>
      </c>
      <c r="B37" s="15">
        <v>6259.75</v>
      </c>
      <c r="C37" s="47">
        <f t="shared" si="1"/>
        <v>-0.003121342177</v>
      </c>
      <c r="H37" s="4">
        <v>45852.0</v>
      </c>
      <c r="I37" s="15">
        <v>6255.15</v>
      </c>
      <c r="J37" s="15">
        <v>6315.61</v>
      </c>
      <c r="K37" s="15">
        <v>6201.59</v>
      </c>
      <c r="L37" s="15">
        <v>6296.79</v>
      </c>
      <c r="M37" s="15">
        <v>6296.79</v>
      </c>
      <c r="N37" s="7">
        <v>2.573037E10</v>
      </c>
      <c r="O37" s="11"/>
    </row>
    <row r="38">
      <c r="A38" s="4">
        <v>45838.0</v>
      </c>
      <c r="B38" s="15">
        <v>6279.35</v>
      </c>
      <c r="C38" s="47">
        <f t="shared" si="1"/>
        <v>0.01721671713</v>
      </c>
      <c r="H38" s="4">
        <v>45845.0</v>
      </c>
      <c r="I38" s="15">
        <v>6259.04</v>
      </c>
      <c r="J38" s="15">
        <v>6290.22</v>
      </c>
      <c r="K38" s="15">
        <v>6201.0</v>
      </c>
      <c r="L38" s="15">
        <v>6259.75</v>
      </c>
      <c r="M38" s="15">
        <v>6259.75</v>
      </c>
      <c r="N38" s="7">
        <v>2.581267E10</v>
      </c>
      <c r="O38" s="11"/>
    </row>
    <row r="39">
      <c r="A39" s="4">
        <v>45831.0</v>
      </c>
      <c r="B39" s="15">
        <v>6173.07</v>
      </c>
      <c r="C39" s="47">
        <f t="shared" si="1"/>
        <v>0.03438932679</v>
      </c>
      <c r="H39" s="4">
        <v>45838.0</v>
      </c>
      <c r="I39" s="15">
        <v>6193.36</v>
      </c>
      <c r="J39" s="15">
        <v>6284.65</v>
      </c>
      <c r="K39" s="15">
        <v>6174.97</v>
      </c>
      <c r="L39" s="15">
        <v>6279.35</v>
      </c>
      <c r="M39" s="15">
        <v>6279.35</v>
      </c>
      <c r="N39" s="7">
        <v>2.108203E10</v>
      </c>
      <c r="O39" s="11"/>
    </row>
    <row r="40">
      <c r="A40" s="4">
        <v>45824.0</v>
      </c>
      <c r="B40" s="15">
        <v>5967.84</v>
      </c>
      <c r="C40" s="47">
        <f t="shared" si="1"/>
        <v>-0.001527529835</v>
      </c>
      <c r="H40" s="4">
        <v>45831.0</v>
      </c>
      <c r="I40" s="15">
        <v>5969.67</v>
      </c>
      <c r="J40" s="15">
        <v>6187.68</v>
      </c>
      <c r="K40" s="15">
        <v>5943.23</v>
      </c>
      <c r="L40" s="15">
        <v>6173.07</v>
      </c>
      <c r="M40" s="15">
        <v>6173.07</v>
      </c>
      <c r="N40" s="7">
        <v>2.940929E10</v>
      </c>
      <c r="O40" s="11"/>
    </row>
    <row r="41">
      <c r="A41" s="4">
        <v>45817.0</v>
      </c>
      <c r="B41" s="15">
        <v>5976.97</v>
      </c>
      <c r="C41" s="47">
        <f t="shared" si="1"/>
        <v>-0.003898099447</v>
      </c>
      <c r="H41" s="4">
        <v>45824.0</v>
      </c>
      <c r="I41" s="15">
        <v>6004.0</v>
      </c>
      <c r="J41" s="15">
        <v>6050.83</v>
      </c>
      <c r="K41" s="15">
        <v>5952.56</v>
      </c>
      <c r="L41" s="15">
        <v>5967.84</v>
      </c>
      <c r="M41" s="15">
        <v>5967.84</v>
      </c>
      <c r="N41" s="7">
        <v>2.262538E10</v>
      </c>
      <c r="O41" s="11"/>
    </row>
    <row r="42">
      <c r="A42" s="4">
        <v>45810.0</v>
      </c>
      <c r="B42" s="15">
        <v>6000.36</v>
      </c>
      <c r="C42" s="47">
        <f t="shared" si="1"/>
        <v>0.01499909501</v>
      </c>
      <c r="H42" s="4">
        <v>45817.0</v>
      </c>
      <c r="I42" s="15">
        <v>6004.63</v>
      </c>
      <c r="J42" s="15">
        <v>6059.4</v>
      </c>
      <c r="K42" s="15">
        <v>5963.21</v>
      </c>
      <c r="L42" s="15">
        <v>5976.97</v>
      </c>
      <c r="M42" s="15">
        <v>5976.97</v>
      </c>
      <c r="N42" s="7">
        <v>2.45652E10</v>
      </c>
      <c r="O42" s="11"/>
    </row>
    <row r="43">
      <c r="A43" s="4">
        <v>45803.0</v>
      </c>
      <c r="B43" s="15">
        <v>5911.69</v>
      </c>
      <c r="C43" s="47">
        <f t="shared" si="1"/>
        <v>0.01876156765</v>
      </c>
      <c r="H43" s="4">
        <v>45810.0</v>
      </c>
      <c r="I43" s="15">
        <v>5896.68</v>
      </c>
      <c r="J43" s="15">
        <v>6016.87</v>
      </c>
      <c r="K43" s="15">
        <v>5861.43</v>
      </c>
      <c r="L43" s="15">
        <v>6000.36</v>
      </c>
      <c r="M43" s="15">
        <v>6000.36</v>
      </c>
      <c r="N43" s="7">
        <v>2.407353E10</v>
      </c>
      <c r="O43" s="11"/>
    </row>
    <row r="44">
      <c r="A44" s="4">
        <v>45796.0</v>
      </c>
      <c r="B44" s="15">
        <v>5802.82</v>
      </c>
      <c r="C44" s="47">
        <f t="shared" si="1"/>
        <v>-0.02610776755</v>
      </c>
      <c r="H44" s="4">
        <v>45803.0</v>
      </c>
      <c r="I44" s="15">
        <v>5854.07</v>
      </c>
      <c r="J44" s="15">
        <v>5943.13</v>
      </c>
      <c r="K44" s="15">
        <v>5843.66</v>
      </c>
      <c r="L44" s="15">
        <v>5911.69</v>
      </c>
      <c r="M44" s="15">
        <v>5911.69</v>
      </c>
      <c r="N44" s="7">
        <v>2.097972E10</v>
      </c>
      <c r="O44" s="11"/>
    </row>
    <row r="45">
      <c r="A45" s="4">
        <v>45789.0</v>
      </c>
      <c r="B45" s="15">
        <v>5958.38</v>
      </c>
      <c r="C45" s="47">
        <f t="shared" si="1"/>
        <v>0.05273405408</v>
      </c>
      <c r="H45" s="4">
        <v>45796.0</v>
      </c>
      <c r="I45" s="15">
        <v>5902.88</v>
      </c>
      <c r="J45" s="15">
        <v>5968.61</v>
      </c>
      <c r="K45" s="15">
        <v>5767.41</v>
      </c>
      <c r="L45" s="15">
        <v>5802.82</v>
      </c>
      <c r="M45" s="15">
        <v>5802.82</v>
      </c>
      <c r="N45" s="7">
        <v>2.363498E10</v>
      </c>
      <c r="O45" s="11"/>
    </row>
    <row r="46">
      <c r="A46" s="4">
        <v>45782.0</v>
      </c>
      <c r="B46" s="15">
        <v>5659.91</v>
      </c>
      <c r="C46" s="47">
        <f t="shared" si="1"/>
        <v>-0.004705741673</v>
      </c>
      <c r="H46" s="4">
        <v>45789.0</v>
      </c>
      <c r="I46" s="15">
        <v>5807.2</v>
      </c>
      <c r="J46" s="15">
        <v>5958.62</v>
      </c>
      <c r="K46" s="15">
        <v>5786.08</v>
      </c>
      <c r="L46" s="15">
        <v>5958.38</v>
      </c>
      <c r="M46" s="15">
        <v>5958.38</v>
      </c>
      <c r="N46" s="7">
        <v>2.660646E10</v>
      </c>
      <c r="O46" s="11"/>
    </row>
    <row r="47">
      <c r="A47" s="4">
        <v>45775.0</v>
      </c>
      <c r="B47" s="15">
        <v>5686.67</v>
      </c>
      <c r="C47" s="47">
        <f t="shared" si="1"/>
        <v>0.0292224187</v>
      </c>
      <c r="H47" s="4">
        <v>45782.0</v>
      </c>
      <c r="I47" s="15">
        <v>5655.32</v>
      </c>
      <c r="J47" s="15">
        <v>5720.1</v>
      </c>
      <c r="K47" s="15">
        <v>5578.64</v>
      </c>
      <c r="L47" s="15">
        <v>5659.91</v>
      </c>
      <c r="M47" s="15">
        <v>5659.91</v>
      </c>
      <c r="N47" s="7">
        <v>2.433545E10</v>
      </c>
      <c r="O47" s="11"/>
    </row>
    <row r="48">
      <c r="A48" s="4">
        <v>45768.0</v>
      </c>
      <c r="B48" s="15">
        <v>5525.21</v>
      </c>
      <c r="C48" s="47">
        <f t="shared" si="1"/>
        <v>0.04590644935</v>
      </c>
      <c r="H48" s="4">
        <v>45775.0</v>
      </c>
      <c r="I48" s="15">
        <v>5529.22</v>
      </c>
      <c r="J48" s="15">
        <v>5700.7</v>
      </c>
      <c r="K48" s="15">
        <v>5433.24</v>
      </c>
      <c r="L48" s="15">
        <v>5686.67</v>
      </c>
      <c r="M48" s="15">
        <v>5686.67</v>
      </c>
      <c r="N48" s="7">
        <v>2.424417E10</v>
      </c>
      <c r="O48" s="11"/>
    </row>
    <row r="49">
      <c r="A49" s="4">
        <v>45761.0</v>
      </c>
      <c r="B49" s="15">
        <v>5282.7</v>
      </c>
      <c r="C49" s="47">
        <f t="shared" si="1"/>
        <v>-0.01503907998</v>
      </c>
      <c r="H49" s="4">
        <v>45768.0</v>
      </c>
      <c r="I49" s="15">
        <v>5232.94</v>
      </c>
      <c r="J49" s="15">
        <v>5528.11</v>
      </c>
      <c r="K49" s="15">
        <v>5101.63</v>
      </c>
      <c r="L49" s="15">
        <v>5525.21</v>
      </c>
      <c r="M49" s="15">
        <v>5525.21</v>
      </c>
      <c r="N49" s="7">
        <v>2.319897E10</v>
      </c>
      <c r="O49" s="11"/>
    </row>
    <row r="50">
      <c r="A50" s="4">
        <v>45754.0</v>
      </c>
      <c r="B50" s="15">
        <v>5363.36</v>
      </c>
      <c r="C50" s="47">
        <f t="shared" si="1"/>
        <v>0.05701132028</v>
      </c>
      <c r="H50" s="4">
        <v>45761.0</v>
      </c>
      <c r="I50" s="15">
        <v>5441.96</v>
      </c>
      <c r="J50" s="15">
        <v>5459.46</v>
      </c>
      <c r="K50" s="15">
        <v>5220.79</v>
      </c>
      <c r="L50" s="15">
        <v>5282.7</v>
      </c>
      <c r="M50" s="15">
        <v>5282.7</v>
      </c>
      <c r="N50" s="7">
        <v>1.867118E10</v>
      </c>
      <c r="O50" s="11"/>
    </row>
    <row r="51">
      <c r="A51" s="4">
        <v>45747.0</v>
      </c>
      <c r="B51" s="15">
        <v>5074.08</v>
      </c>
      <c r="C51" s="47">
        <f t="shared" si="1"/>
        <v>-0.09081982605</v>
      </c>
      <c r="H51" s="4">
        <v>45754.0</v>
      </c>
      <c r="I51" s="15">
        <v>4953.79</v>
      </c>
      <c r="J51" s="15">
        <v>5481.34</v>
      </c>
      <c r="K51" s="15">
        <v>4835.04</v>
      </c>
      <c r="L51" s="15">
        <v>5363.36</v>
      </c>
      <c r="M51" s="15">
        <v>5363.36</v>
      </c>
      <c r="N51" s="7">
        <v>3.786941E10</v>
      </c>
      <c r="O51" s="11"/>
    </row>
    <row r="52">
      <c r="A52" s="4">
        <v>45740.0</v>
      </c>
      <c r="B52" s="15">
        <v>5580.94</v>
      </c>
      <c r="C52" s="47">
        <f t="shared" si="1"/>
        <v>-0.01528347296</v>
      </c>
      <c r="H52" s="4">
        <v>45747.0</v>
      </c>
      <c r="I52" s="15">
        <v>5527.91</v>
      </c>
      <c r="J52" s="15">
        <v>5695.31</v>
      </c>
      <c r="K52" s="15">
        <v>5069.9</v>
      </c>
      <c r="L52" s="15">
        <v>5074.08</v>
      </c>
      <c r="M52" s="15">
        <v>5074.08</v>
      </c>
      <c r="N52" s="7">
        <v>2.999955E10</v>
      </c>
      <c r="O52" s="11"/>
    </row>
    <row r="53">
      <c r="A53" s="4">
        <v>45733.0</v>
      </c>
      <c r="B53" s="15">
        <v>5667.56</v>
      </c>
      <c r="C53" s="47">
        <f t="shared" si="1"/>
        <v>0.005075421976</v>
      </c>
      <c r="H53" s="4">
        <v>45740.0</v>
      </c>
      <c r="I53" s="15">
        <v>5718.08</v>
      </c>
      <c r="J53" s="15">
        <v>5786.95</v>
      </c>
      <c r="K53" s="15">
        <v>5572.42</v>
      </c>
      <c r="L53" s="15">
        <v>5580.94</v>
      </c>
      <c r="M53" s="15">
        <v>5580.94</v>
      </c>
      <c r="N53" s="7">
        <v>2.208526E10</v>
      </c>
      <c r="O53" s="11"/>
    </row>
    <row r="54">
      <c r="A54" s="4">
        <v>45726.0</v>
      </c>
      <c r="B54" s="15">
        <v>5638.94</v>
      </c>
      <c r="C54" s="47">
        <f t="shared" si="1"/>
        <v>-0.02274791168</v>
      </c>
      <c r="H54" s="4">
        <v>45733.0</v>
      </c>
      <c r="I54" s="15">
        <v>5635.6</v>
      </c>
      <c r="J54" s="15">
        <v>5715.33</v>
      </c>
      <c r="K54" s="15">
        <v>5597.76</v>
      </c>
      <c r="L54" s="15">
        <v>5667.56</v>
      </c>
      <c r="M54" s="15">
        <v>5667.56</v>
      </c>
      <c r="N54" s="7">
        <v>2.840401E10</v>
      </c>
      <c r="O54" s="11"/>
    </row>
    <row r="55">
      <c r="A55" s="4">
        <v>45719.0</v>
      </c>
      <c r="B55" s="15">
        <v>5770.2</v>
      </c>
      <c r="C55" s="14"/>
      <c r="H55" s="4">
        <v>45726.0</v>
      </c>
      <c r="I55" s="15">
        <v>5705.37</v>
      </c>
      <c r="J55" s="15">
        <v>5705.37</v>
      </c>
      <c r="K55" s="15">
        <v>5504.65</v>
      </c>
      <c r="L55" s="15">
        <v>5638.94</v>
      </c>
      <c r="M55" s="15">
        <v>5638.94</v>
      </c>
      <c r="N55" s="7">
        <v>2.77326E10</v>
      </c>
      <c r="O55" s="11"/>
    </row>
    <row r="56">
      <c r="A56" s="13"/>
      <c r="C56" s="14"/>
      <c r="H56" s="4">
        <v>45719.0</v>
      </c>
      <c r="I56" s="15">
        <v>5785.87</v>
      </c>
      <c r="J56" s="15">
        <v>5812.08</v>
      </c>
      <c r="K56" s="15">
        <v>5666.29</v>
      </c>
      <c r="L56" s="15">
        <v>5770.2</v>
      </c>
      <c r="M56" s="15">
        <v>5770.2</v>
      </c>
      <c r="N56" s="7">
        <v>1.087022E10</v>
      </c>
      <c r="O56" s="11"/>
    </row>
    <row r="57">
      <c r="A57" s="13"/>
      <c r="C57" s="14"/>
      <c r="H57" s="13"/>
    </row>
    <row r="58">
      <c r="A58" s="13"/>
      <c r="C58" s="14"/>
      <c r="H58" s="13"/>
    </row>
    <row r="59">
      <c r="A59" s="13"/>
      <c r="C59" s="14"/>
      <c r="H59" s="13"/>
    </row>
    <row r="60">
      <c r="A60" s="13"/>
      <c r="C60" s="14"/>
      <c r="H60" s="13"/>
    </row>
    <row r="61">
      <c r="A61" s="13"/>
      <c r="C61" s="14"/>
      <c r="H61" s="13"/>
    </row>
    <row r="62">
      <c r="C62" s="14"/>
      <c r="H62" s="13"/>
    </row>
    <row r="63">
      <c r="C63" s="14"/>
      <c r="H63" s="13"/>
    </row>
    <row r="64">
      <c r="C64" s="14"/>
      <c r="H64" s="13"/>
    </row>
    <row r="65">
      <c r="C65" s="14"/>
      <c r="H65" s="13"/>
    </row>
    <row r="66">
      <c r="C66" s="14"/>
      <c r="H66" s="13"/>
    </row>
    <row r="67">
      <c r="C67" s="14"/>
      <c r="H67" s="13"/>
    </row>
    <row r="68">
      <c r="C68" s="14"/>
      <c r="H68" s="13"/>
    </row>
    <row r="69">
      <c r="C69" s="14"/>
      <c r="H69" s="13"/>
    </row>
    <row r="70">
      <c r="C70" s="14"/>
      <c r="H70" s="13"/>
    </row>
    <row r="71">
      <c r="C71" s="14"/>
      <c r="H71" s="13"/>
    </row>
    <row r="72">
      <c r="C72" s="14"/>
      <c r="H72" s="13"/>
    </row>
    <row r="73">
      <c r="C73" s="14"/>
      <c r="H73" s="13"/>
    </row>
    <row r="74">
      <c r="C74" s="14"/>
      <c r="H74" s="13"/>
    </row>
    <row r="75">
      <c r="C75" s="14"/>
      <c r="H75" s="13"/>
    </row>
    <row r="76">
      <c r="C76" s="14"/>
      <c r="H76" s="13"/>
    </row>
    <row r="77">
      <c r="C77" s="14"/>
      <c r="H77" s="13"/>
    </row>
    <row r="78">
      <c r="C78" s="14"/>
      <c r="H78" s="13"/>
    </row>
    <row r="79">
      <c r="C79" s="14"/>
      <c r="H79" s="13"/>
    </row>
    <row r="80">
      <c r="C80" s="14"/>
      <c r="H80" s="13"/>
    </row>
    <row r="81">
      <c r="C81" s="14"/>
      <c r="H81" s="13"/>
    </row>
    <row r="82">
      <c r="C82" s="14"/>
      <c r="H82" s="13"/>
    </row>
    <row r="83">
      <c r="C83" s="14"/>
      <c r="H83" s="13"/>
    </row>
    <row r="84">
      <c r="C84" s="14"/>
      <c r="H84" s="13"/>
    </row>
    <row r="85">
      <c r="C85" s="14"/>
      <c r="H85" s="13"/>
    </row>
    <row r="86">
      <c r="C86" s="14"/>
      <c r="H86" s="13"/>
    </row>
    <row r="87">
      <c r="C87" s="14"/>
      <c r="H87" s="13"/>
    </row>
    <row r="88">
      <c r="C88" s="14"/>
      <c r="H88" s="13"/>
    </row>
    <row r="89">
      <c r="C89" s="14"/>
      <c r="H89" s="13"/>
    </row>
    <row r="90">
      <c r="C90" s="14"/>
      <c r="H90" s="13"/>
    </row>
    <row r="91">
      <c r="C91" s="14"/>
      <c r="H91" s="13"/>
    </row>
    <row r="92">
      <c r="C92" s="14"/>
      <c r="H92" s="13"/>
    </row>
    <row r="93">
      <c r="C93" s="14"/>
      <c r="H93" s="13"/>
    </row>
    <row r="94">
      <c r="C94" s="14"/>
      <c r="H94" s="13"/>
    </row>
    <row r="95">
      <c r="C95" s="14"/>
      <c r="H95" s="13"/>
    </row>
    <row r="96">
      <c r="C96" s="14"/>
      <c r="H96" s="13"/>
    </row>
    <row r="97">
      <c r="C97" s="14"/>
      <c r="H97" s="13"/>
    </row>
    <row r="98">
      <c r="C98" s="14"/>
      <c r="H98" s="13"/>
    </row>
    <row r="99">
      <c r="C99" s="14"/>
      <c r="H99" s="13"/>
    </row>
    <row r="100">
      <c r="C100" s="14"/>
      <c r="H100" s="13"/>
    </row>
    <row r="101">
      <c r="C101" s="14"/>
      <c r="H101" s="13"/>
    </row>
    <row r="102">
      <c r="C102" s="14"/>
      <c r="H102" s="13"/>
    </row>
    <row r="103">
      <c r="C103" s="14"/>
      <c r="H103" s="13"/>
    </row>
    <row r="104">
      <c r="C104" s="14"/>
      <c r="H104" s="13"/>
    </row>
    <row r="105">
      <c r="C105" s="14"/>
      <c r="H105" s="13"/>
    </row>
    <row r="106">
      <c r="C106" s="14"/>
      <c r="H106" s="13"/>
    </row>
    <row r="107">
      <c r="C107" s="14"/>
      <c r="H107" s="13"/>
    </row>
    <row r="108">
      <c r="C108" s="14"/>
      <c r="H108" s="13"/>
    </row>
    <row r="109">
      <c r="C109" s="14"/>
      <c r="H109" s="13"/>
    </row>
    <row r="110">
      <c r="C110" s="14"/>
      <c r="H110" s="13"/>
    </row>
    <row r="111">
      <c r="C111" s="14"/>
      <c r="H111" s="13"/>
    </row>
    <row r="112">
      <c r="C112" s="14"/>
      <c r="H112" s="13"/>
    </row>
    <row r="113">
      <c r="C113" s="14"/>
      <c r="H113" s="13"/>
    </row>
    <row r="114">
      <c r="C114" s="14"/>
      <c r="H114" s="13"/>
    </row>
    <row r="115">
      <c r="C115" s="14"/>
      <c r="H115" s="13"/>
    </row>
    <row r="116">
      <c r="C116" s="14"/>
      <c r="H116" s="13"/>
    </row>
    <row r="117">
      <c r="C117" s="14"/>
      <c r="H117" s="13"/>
    </row>
    <row r="118">
      <c r="C118" s="14"/>
      <c r="H118" s="13"/>
    </row>
    <row r="119">
      <c r="C119" s="14"/>
      <c r="H119" s="13"/>
    </row>
    <row r="120">
      <c r="C120" s="14"/>
      <c r="H120" s="13"/>
    </row>
    <row r="121">
      <c r="C121" s="14"/>
      <c r="H121" s="13"/>
    </row>
    <row r="122">
      <c r="C122" s="14"/>
      <c r="H122" s="13"/>
    </row>
    <row r="123">
      <c r="C123" s="14"/>
      <c r="H123" s="13"/>
    </row>
    <row r="124">
      <c r="C124" s="14"/>
      <c r="H124" s="13"/>
    </row>
    <row r="125">
      <c r="C125" s="14"/>
      <c r="H125" s="13"/>
    </row>
    <row r="126">
      <c r="C126" s="14"/>
      <c r="H126" s="13"/>
    </row>
    <row r="127">
      <c r="C127" s="14"/>
      <c r="H127" s="13"/>
    </row>
    <row r="128">
      <c r="C128" s="14"/>
      <c r="H128" s="13"/>
    </row>
    <row r="129">
      <c r="C129" s="14"/>
      <c r="H129" s="13"/>
    </row>
    <row r="130">
      <c r="C130" s="14"/>
      <c r="H130" s="13"/>
    </row>
    <row r="131">
      <c r="C131" s="14"/>
      <c r="H131" s="13"/>
    </row>
    <row r="132">
      <c r="C132" s="14"/>
      <c r="H132" s="13"/>
    </row>
    <row r="133">
      <c r="C133" s="14"/>
      <c r="H133" s="13"/>
    </row>
    <row r="134">
      <c r="C134" s="14"/>
      <c r="H134" s="13"/>
    </row>
    <row r="135">
      <c r="C135" s="14"/>
      <c r="H135" s="13"/>
    </row>
    <row r="136">
      <c r="C136" s="14"/>
      <c r="H136" s="13"/>
    </row>
    <row r="137">
      <c r="C137" s="14"/>
      <c r="H137" s="13"/>
    </row>
    <row r="138">
      <c r="C138" s="14"/>
      <c r="H138" s="13"/>
    </row>
    <row r="139">
      <c r="C139" s="14"/>
      <c r="H139" s="13"/>
    </row>
    <row r="140">
      <c r="C140" s="14"/>
      <c r="H140" s="13"/>
    </row>
    <row r="141">
      <c r="C141" s="14"/>
      <c r="H141" s="13"/>
    </row>
    <row r="142">
      <c r="C142" s="14"/>
      <c r="H142" s="13"/>
    </row>
    <row r="143">
      <c r="C143" s="14"/>
      <c r="H143" s="13"/>
    </row>
    <row r="144">
      <c r="C144" s="14"/>
      <c r="H144" s="13"/>
    </row>
    <row r="145">
      <c r="C145" s="14"/>
      <c r="H145" s="13"/>
    </row>
    <row r="146">
      <c r="C146" s="14"/>
      <c r="H146" s="13"/>
    </row>
    <row r="147">
      <c r="C147" s="14"/>
      <c r="H147" s="13"/>
    </row>
    <row r="148">
      <c r="C148" s="14"/>
      <c r="H148" s="13"/>
    </row>
    <row r="149">
      <c r="C149" s="14"/>
      <c r="H149" s="13"/>
    </row>
    <row r="150">
      <c r="C150" s="14"/>
      <c r="H150" s="13"/>
    </row>
    <row r="151">
      <c r="C151" s="14"/>
      <c r="H151" s="13"/>
    </row>
    <row r="152">
      <c r="C152" s="14"/>
      <c r="H152" s="13"/>
    </row>
    <row r="153">
      <c r="C153" s="14"/>
      <c r="H153" s="13"/>
    </row>
    <row r="154">
      <c r="C154" s="14"/>
      <c r="H154" s="13"/>
    </row>
    <row r="155">
      <c r="C155" s="14"/>
      <c r="H155" s="13"/>
    </row>
    <row r="156">
      <c r="C156" s="14"/>
      <c r="H156" s="13"/>
    </row>
    <row r="157">
      <c r="C157" s="14"/>
      <c r="H157" s="13"/>
    </row>
    <row r="158">
      <c r="C158" s="14"/>
      <c r="H158" s="13"/>
    </row>
    <row r="159">
      <c r="C159" s="14"/>
      <c r="H159" s="13"/>
    </row>
    <row r="160">
      <c r="C160" s="14"/>
      <c r="H160" s="13"/>
    </row>
    <row r="161">
      <c r="C161" s="14"/>
      <c r="H161" s="13"/>
    </row>
    <row r="162">
      <c r="C162" s="14"/>
      <c r="H162" s="13"/>
    </row>
    <row r="163">
      <c r="C163" s="14"/>
      <c r="H163" s="13"/>
    </row>
    <row r="164">
      <c r="C164" s="14"/>
      <c r="H164" s="13"/>
    </row>
    <row r="165">
      <c r="C165" s="14"/>
      <c r="H165" s="13"/>
    </row>
    <row r="166">
      <c r="C166" s="14"/>
      <c r="H166" s="13"/>
    </row>
    <row r="167">
      <c r="C167" s="14"/>
      <c r="H167" s="13"/>
    </row>
    <row r="168">
      <c r="C168" s="14"/>
      <c r="H168" s="13"/>
    </row>
    <row r="169">
      <c r="C169" s="14"/>
      <c r="H169" s="13"/>
    </row>
    <row r="170">
      <c r="C170" s="14"/>
      <c r="H170" s="13"/>
    </row>
    <row r="171">
      <c r="C171" s="14"/>
      <c r="H171" s="13"/>
    </row>
    <row r="172">
      <c r="C172" s="14"/>
      <c r="H172" s="13"/>
    </row>
    <row r="173">
      <c r="C173" s="14"/>
      <c r="H173" s="13"/>
    </row>
    <row r="174">
      <c r="C174" s="14"/>
      <c r="H174" s="13"/>
    </row>
    <row r="175">
      <c r="C175" s="14"/>
      <c r="H175" s="13"/>
    </row>
    <row r="176">
      <c r="C176" s="14"/>
      <c r="H176" s="13"/>
    </row>
    <row r="177">
      <c r="C177" s="14"/>
      <c r="H177" s="13"/>
    </row>
    <row r="178">
      <c r="C178" s="14"/>
      <c r="H178" s="13"/>
    </row>
    <row r="179">
      <c r="C179" s="14"/>
      <c r="H179" s="13"/>
    </row>
    <row r="180">
      <c r="C180" s="14"/>
      <c r="H180" s="13"/>
    </row>
    <row r="181">
      <c r="C181" s="14"/>
      <c r="H181" s="13"/>
    </row>
    <row r="182">
      <c r="C182" s="14"/>
      <c r="H182" s="13"/>
    </row>
    <row r="183">
      <c r="C183" s="14"/>
      <c r="H183" s="13"/>
    </row>
    <row r="184">
      <c r="C184" s="14"/>
      <c r="H184" s="13"/>
    </row>
    <row r="185">
      <c r="C185" s="14"/>
      <c r="H185" s="13"/>
    </row>
    <row r="186">
      <c r="C186" s="14"/>
      <c r="H186" s="13"/>
    </row>
    <row r="187">
      <c r="C187" s="14"/>
      <c r="H187" s="13"/>
    </row>
    <row r="188">
      <c r="C188" s="14"/>
      <c r="H188" s="13"/>
    </row>
    <row r="189">
      <c r="C189" s="14"/>
      <c r="H189" s="13"/>
    </row>
    <row r="190">
      <c r="C190" s="14"/>
      <c r="H190" s="13"/>
    </row>
    <row r="191">
      <c r="C191" s="14"/>
      <c r="H191" s="13"/>
    </row>
    <row r="192">
      <c r="C192" s="14"/>
      <c r="H192" s="13"/>
    </row>
    <row r="193">
      <c r="C193" s="14"/>
      <c r="H193" s="13"/>
    </row>
    <row r="194">
      <c r="C194" s="14"/>
      <c r="H194" s="13"/>
    </row>
    <row r="195">
      <c r="C195" s="14"/>
      <c r="H195" s="13"/>
    </row>
    <row r="196">
      <c r="C196" s="14"/>
      <c r="H196" s="13"/>
    </row>
    <row r="197">
      <c r="C197" s="14"/>
      <c r="H197" s="13"/>
    </row>
    <row r="198">
      <c r="C198" s="14"/>
      <c r="H198" s="13"/>
    </row>
    <row r="199">
      <c r="C199" s="14"/>
      <c r="H199" s="13"/>
    </row>
    <row r="200">
      <c r="C200" s="14"/>
      <c r="H200" s="13"/>
    </row>
    <row r="201">
      <c r="C201" s="14"/>
      <c r="H201" s="13"/>
    </row>
    <row r="202">
      <c r="C202" s="14"/>
      <c r="H202" s="13"/>
    </row>
    <row r="203">
      <c r="C203" s="14"/>
      <c r="H203" s="13"/>
    </row>
    <row r="204">
      <c r="C204" s="14"/>
      <c r="H204" s="13"/>
    </row>
    <row r="205">
      <c r="C205" s="14"/>
      <c r="H205" s="13"/>
    </row>
    <row r="206">
      <c r="C206" s="14"/>
      <c r="H206" s="13"/>
    </row>
    <row r="207">
      <c r="C207" s="14"/>
      <c r="H207" s="13"/>
    </row>
    <row r="208">
      <c r="C208" s="14"/>
      <c r="H208" s="13"/>
    </row>
    <row r="209">
      <c r="C209" s="14"/>
      <c r="H209" s="13"/>
    </row>
    <row r="210">
      <c r="C210" s="14"/>
      <c r="H210" s="13"/>
    </row>
    <row r="211">
      <c r="C211" s="14"/>
      <c r="H211" s="13"/>
    </row>
    <row r="212">
      <c r="C212" s="14"/>
      <c r="H212" s="13"/>
    </row>
    <row r="213">
      <c r="C213" s="14"/>
      <c r="H213" s="13"/>
    </row>
    <row r="214">
      <c r="C214" s="14"/>
      <c r="H214" s="13"/>
    </row>
    <row r="215">
      <c r="C215" s="14"/>
      <c r="H215" s="13"/>
    </row>
    <row r="216">
      <c r="C216" s="14"/>
      <c r="H216" s="13"/>
    </row>
    <row r="217">
      <c r="C217" s="14"/>
      <c r="H217" s="13"/>
    </row>
    <row r="218">
      <c r="C218" s="14"/>
      <c r="H218" s="13"/>
    </row>
    <row r="219">
      <c r="C219" s="14"/>
      <c r="H219" s="13"/>
    </row>
    <row r="220">
      <c r="C220" s="14"/>
      <c r="H220" s="13"/>
    </row>
    <row r="221">
      <c r="C221" s="14"/>
      <c r="H221" s="13"/>
    </row>
    <row r="222">
      <c r="C222" s="14"/>
      <c r="H222" s="13"/>
    </row>
    <row r="223">
      <c r="C223" s="14"/>
      <c r="H223" s="13"/>
    </row>
    <row r="224">
      <c r="C224" s="14"/>
      <c r="H224" s="13"/>
    </row>
    <row r="225">
      <c r="C225" s="14"/>
      <c r="H225" s="13"/>
    </row>
    <row r="226">
      <c r="C226" s="14"/>
      <c r="H226" s="13"/>
    </row>
    <row r="227">
      <c r="C227" s="14"/>
      <c r="H227" s="13"/>
    </row>
    <row r="228">
      <c r="C228" s="14"/>
      <c r="H228" s="13"/>
    </row>
    <row r="229">
      <c r="C229" s="14"/>
      <c r="H229" s="13"/>
    </row>
    <row r="230">
      <c r="C230" s="14"/>
      <c r="H230" s="13"/>
    </row>
    <row r="231">
      <c r="C231" s="14"/>
      <c r="H231" s="13"/>
    </row>
    <row r="232">
      <c r="C232" s="14"/>
      <c r="H232" s="13"/>
    </row>
    <row r="233">
      <c r="C233" s="14"/>
      <c r="H233" s="13"/>
    </row>
    <row r="234">
      <c r="C234" s="14"/>
      <c r="H234" s="13"/>
    </row>
    <row r="235">
      <c r="C235" s="14"/>
      <c r="H235" s="13"/>
    </row>
    <row r="236">
      <c r="C236" s="14"/>
      <c r="H236" s="13"/>
    </row>
    <row r="237">
      <c r="C237" s="14"/>
      <c r="H237" s="13"/>
    </row>
    <row r="238">
      <c r="C238" s="14"/>
      <c r="H238" s="13"/>
    </row>
    <row r="239">
      <c r="C239" s="14"/>
      <c r="H239" s="13"/>
    </row>
    <row r="240">
      <c r="C240" s="14"/>
      <c r="H240" s="13"/>
    </row>
    <row r="241">
      <c r="C241" s="14"/>
      <c r="H241" s="13"/>
    </row>
    <row r="242">
      <c r="C242" s="14"/>
      <c r="H242" s="13"/>
    </row>
    <row r="243">
      <c r="C243" s="14"/>
      <c r="H243" s="13"/>
    </row>
    <row r="244">
      <c r="C244" s="14"/>
      <c r="H244" s="13"/>
    </row>
    <row r="245">
      <c r="C245" s="14"/>
      <c r="H245" s="13"/>
    </row>
    <row r="246">
      <c r="C246" s="14"/>
      <c r="H246" s="13"/>
    </row>
    <row r="247">
      <c r="C247" s="14"/>
      <c r="H247" s="13"/>
    </row>
    <row r="248">
      <c r="C248" s="14"/>
      <c r="H248" s="13"/>
    </row>
    <row r="249">
      <c r="C249" s="14"/>
      <c r="H249" s="13"/>
    </row>
    <row r="250">
      <c r="C250" s="14"/>
      <c r="H250" s="13"/>
    </row>
    <row r="251">
      <c r="C251" s="14"/>
      <c r="H251" s="13"/>
    </row>
    <row r="252">
      <c r="C252" s="14"/>
      <c r="H252" s="13"/>
    </row>
    <row r="253">
      <c r="C253" s="14"/>
      <c r="H253" s="13"/>
    </row>
    <row r="254">
      <c r="C254" s="14"/>
      <c r="H254" s="13"/>
    </row>
    <row r="255">
      <c r="C255" s="14"/>
      <c r="H255" s="13"/>
    </row>
    <row r="256">
      <c r="C256" s="14"/>
      <c r="H256" s="13"/>
    </row>
    <row r="257">
      <c r="C257" s="14"/>
      <c r="H257" s="13"/>
    </row>
    <row r="258">
      <c r="C258" s="14"/>
      <c r="H258" s="13"/>
    </row>
    <row r="259">
      <c r="C259" s="14"/>
      <c r="H259" s="13"/>
    </row>
    <row r="260">
      <c r="C260" s="14"/>
      <c r="H260" s="13"/>
    </row>
    <row r="261">
      <c r="C261" s="14"/>
      <c r="H261" s="13"/>
    </row>
    <row r="262">
      <c r="C262" s="14"/>
      <c r="H262" s="13"/>
    </row>
    <row r="263">
      <c r="C263" s="14"/>
      <c r="H263" s="13"/>
    </row>
    <row r="264">
      <c r="C264" s="14"/>
      <c r="H264" s="13"/>
    </row>
    <row r="265">
      <c r="C265" s="14"/>
      <c r="H265" s="13"/>
    </row>
    <row r="266">
      <c r="C266" s="14"/>
      <c r="H266" s="13"/>
    </row>
    <row r="267">
      <c r="C267" s="14"/>
      <c r="H267" s="13"/>
    </row>
    <row r="268">
      <c r="C268" s="14"/>
      <c r="H268" s="13"/>
    </row>
    <row r="269">
      <c r="C269" s="14"/>
      <c r="H269" s="13"/>
    </row>
    <row r="270">
      <c r="C270" s="14"/>
      <c r="H270" s="13"/>
    </row>
    <row r="271">
      <c r="C271" s="14"/>
      <c r="H271" s="13"/>
    </row>
    <row r="272">
      <c r="C272" s="14"/>
      <c r="H272" s="13"/>
    </row>
    <row r="273">
      <c r="C273" s="14"/>
      <c r="H273" s="13"/>
    </row>
    <row r="274">
      <c r="C274" s="14"/>
      <c r="H274" s="13"/>
    </row>
    <row r="275">
      <c r="C275" s="14"/>
      <c r="H275" s="13"/>
    </row>
    <row r="276">
      <c r="C276" s="14"/>
      <c r="H276" s="13"/>
    </row>
    <row r="277">
      <c r="C277" s="14"/>
      <c r="H277" s="13"/>
    </row>
    <row r="278">
      <c r="C278" s="14"/>
      <c r="H278" s="13"/>
    </row>
    <row r="279">
      <c r="C279" s="14"/>
      <c r="H279" s="13"/>
    </row>
    <row r="280">
      <c r="C280" s="14"/>
      <c r="H280" s="13"/>
    </row>
    <row r="281">
      <c r="C281" s="14"/>
      <c r="H281" s="13"/>
    </row>
    <row r="282">
      <c r="C282" s="14"/>
      <c r="H282" s="13"/>
    </row>
    <row r="283">
      <c r="C283" s="14"/>
      <c r="H283" s="13"/>
    </row>
    <row r="284">
      <c r="C284" s="14"/>
      <c r="H284" s="13"/>
    </row>
    <row r="285">
      <c r="C285" s="14"/>
      <c r="H285" s="13"/>
    </row>
    <row r="286">
      <c r="C286" s="14"/>
      <c r="H286" s="13"/>
    </row>
    <row r="287">
      <c r="C287" s="14"/>
      <c r="H287" s="13"/>
    </row>
    <row r="288">
      <c r="C288" s="14"/>
      <c r="H288" s="13"/>
    </row>
    <row r="289">
      <c r="C289" s="14"/>
      <c r="H289" s="13"/>
    </row>
    <row r="290">
      <c r="C290" s="14"/>
      <c r="H290" s="13"/>
    </row>
    <row r="291">
      <c r="C291" s="14"/>
      <c r="H291" s="13"/>
    </row>
    <row r="292">
      <c r="C292" s="14"/>
      <c r="H292" s="13"/>
    </row>
    <row r="293">
      <c r="C293" s="14"/>
      <c r="H293" s="13"/>
    </row>
    <row r="294">
      <c r="C294" s="14"/>
      <c r="H294" s="13"/>
    </row>
    <row r="295">
      <c r="C295" s="14"/>
      <c r="H295" s="13"/>
    </row>
    <row r="296">
      <c r="C296" s="14"/>
      <c r="H296" s="13"/>
    </row>
    <row r="297">
      <c r="C297" s="14"/>
      <c r="H297" s="13"/>
    </row>
    <row r="298">
      <c r="C298" s="14"/>
      <c r="H298" s="13"/>
    </row>
    <row r="299">
      <c r="C299" s="14"/>
      <c r="H299" s="13"/>
    </row>
    <row r="300">
      <c r="C300" s="14"/>
      <c r="H300" s="13"/>
    </row>
    <row r="301">
      <c r="C301" s="14"/>
      <c r="H301" s="13"/>
    </row>
    <row r="302">
      <c r="C302" s="14"/>
      <c r="H302" s="13"/>
    </row>
    <row r="303">
      <c r="C303" s="14"/>
      <c r="H303" s="13"/>
    </row>
    <row r="304">
      <c r="C304" s="14"/>
      <c r="H304" s="13"/>
    </row>
    <row r="305">
      <c r="C305" s="14"/>
      <c r="H305" s="13"/>
    </row>
    <row r="306">
      <c r="C306" s="14"/>
      <c r="H306" s="13"/>
    </row>
    <row r="307">
      <c r="C307" s="14"/>
      <c r="H307" s="13"/>
    </row>
    <row r="308">
      <c r="C308" s="14"/>
      <c r="H308" s="13"/>
    </row>
    <row r="309">
      <c r="C309" s="14"/>
      <c r="H309" s="13"/>
    </row>
    <row r="310">
      <c r="C310" s="14"/>
      <c r="H310" s="13"/>
    </row>
    <row r="311">
      <c r="C311" s="14"/>
      <c r="H311" s="13"/>
    </row>
    <row r="312">
      <c r="C312" s="14"/>
      <c r="H312" s="13"/>
    </row>
    <row r="313">
      <c r="C313" s="14"/>
      <c r="H313" s="13"/>
    </row>
    <row r="314">
      <c r="C314" s="14"/>
      <c r="H314" s="13"/>
    </row>
    <row r="315">
      <c r="C315" s="14"/>
      <c r="H315" s="13"/>
    </row>
    <row r="316">
      <c r="C316" s="14"/>
      <c r="H316" s="13"/>
    </row>
    <row r="317">
      <c r="C317" s="14"/>
      <c r="H317" s="13"/>
    </row>
    <row r="318">
      <c r="C318" s="14"/>
      <c r="H318" s="13"/>
    </row>
    <row r="319">
      <c r="C319" s="14"/>
      <c r="H319" s="13"/>
    </row>
    <row r="320">
      <c r="C320" s="14"/>
      <c r="H320" s="13"/>
    </row>
    <row r="321">
      <c r="C321" s="14"/>
      <c r="H321" s="13"/>
    </row>
    <row r="322">
      <c r="C322" s="14"/>
      <c r="H322" s="13"/>
    </row>
    <row r="323">
      <c r="C323" s="14"/>
      <c r="H323" s="13"/>
    </row>
    <row r="324">
      <c r="C324" s="14"/>
      <c r="H324" s="13"/>
    </row>
    <row r="325">
      <c r="C325" s="14"/>
      <c r="H325" s="13"/>
    </row>
    <row r="326">
      <c r="C326" s="14"/>
      <c r="H326" s="13"/>
    </row>
    <row r="327">
      <c r="C327" s="14"/>
      <c r="H327" s="13"/>
    </row>
    <row r="328">
      <c r="C328" s="14"/>
      <c r="H328" s="13"/>
    </row>
    <row r="329">
      <c r="C329" s="14"/>
      <c r="H329" s="13"/>
    </row>
    <row r="330">
      <c r="C330" s="14"/>
      <c r="H330" s="13"/>
    </row>
    <row r="331">
      <c r="C331" s="14"/>
      <c r="H331" s="13"/>
    </row>
    <row r="332">
      <c r="C332" s="14"/>
      <c r="H332" s="13"/>
    </row>
    <row r="333">
      <c r="C333" s="14"/>
      <c r="H333" s="13"/>
    </row>
    <row r="334">
      <c r="C334" s="14"/>
      <c r="H334" s="13"/>
    </row>
    <row r="335">
      <c r="C335" s="14"/>
      <c r="H335" s="13"/>
    </row>
    <row r="336">
      <c r="C336" s="14"/>
      <c r="H336" s="13"/>
    </row>
    <row r="337">
      <c r="C337" s="14"/>
      <c r="H337" s="13"/>
    </row>
    <row r="338">
      <c r="C338" s="14"/>
      <c r="H338" s="13"/>
    </row>
    <row r="339">
      <c r="C339" s="14"/>
      <c r="H339" s="13"/>
    </row>
    <row r="340">
      <c r="C340" s="14"/>
      <c r="H340" s="13"/>
    </row>
    <row r="341">
      <c r="C341" s="14"/>
      <c r="H341" s="13"/>
    </row>
    <row r="342">
      <c r="C342" s="14"/>
      <c r="H342" s="13"/>
    </row>
    <row r="343">
      <c r="C343" s="14"/>
      <c r="H343" s="13"/>
    </row>
    <row r="344">
      <c r="C344" s="14"/>
      <c r="H344" s="13"/>
    </row>
    <row r="345">
      <c r="C345" s="14"/>
      <c r="H345" s="13"/>
    </row>
    <row r="346">
      <c r="C346" s="14"/>
      <c r="H346" s="13"/>
    </row>
    <row r="347">
      <c r="C347" s="14"/>
      <c r="H347" s="13"/>
    </row>
    <row r="348">
      <c r="C348" s="14"/>
      <c r="H348" s="13"/>
    </row>
    <row r="349">
      <c r="C349" s="14"/>
      <c r="H349" s="13"/>
    </row>
    <row r="350">
      <c r="C350" s="14"/>
      <c r="H350" s="13"/>
    </row>
    <row r="351">
      <c r="C351" s="14"/>
      <c r="H351" s="13"/>
    </row>
    <row r="352">
      <c r="C352" s="14"/>
      <c r="H352" s="13"/>
    </row>
    <row r="353">
      <c r="C353" s="14"/>
      <c r="H353" s="13"/>
    </row>
    <row r="354">
      <c r="C354" s="14"/>
      <c r="H354" s="13"/>
    </row>
    <row r="355">
      <c r="C355" s="14"/>
      <c r="H355" s="13"/>
    </row>
    <row r="356">
      <c r="C356" s="14"/>
      <c r="H356" s="13"/>
    </row>
    <row r="357">
      <c r="C357" s="14"/>
      <c r="H357" s="13"/>
    </row>
    <row r="358">
      <c r="C358" s="14"/>
      <c r="H358" s="13"/>
    </row>
    <row r="359">
      <c r="C359" s="14"/>
      <c r="H359" s="13"/>
    </row>
    <row r="360">
      <c r="C360" s="14"/>
      <c r="H360" s="13"/>
    </row>
    <row r="361">
      <c r="C361" s="14"/>
      <c r="H361" s="13"/>
    </row>
    <row r="362">
      <c r="C362" s="14"/>
      <c r="H362" s="13"/>
    </row>
    <row r="363">
      <c r="C363" s="14"/>
      <c r="H363" s="13"/>
    </row>
    <row r="364">
      <c r="C364" s="14"/>
      <c r="H364" s="13"/>
    </row>
    <row r="365">
      <c r="C365" s="14"/>
      <c r="H365" s="13"/>
    </row>
    <row r="366">
      <c r="C366" s="14"/>
      <c r="H366" s="13"/>
    </row>
    <row r="367">
      <c r="C367" s="14"/>
      <c r="H367" s="13"/>
    </row>
    <row r="368">
      <c r="C368" s="14"/>
      <c r="H368" s="13"/>
    </row>
    <row r="369">
      <c r="C369" s="14"/>
      <c r="H369" s="13"/>
    </row>
    <row r="370">
      <c r="C370" s="14"/>
      <c r="H370" s="13"/>
    </row>
    <row r="371">
      <c r="C371" s="14"/>
      <c r="H371" s="13"/>
    </row>
    <row r="372">
      <c r="C372" s="14"/>
      <c r="H372" s="13"/>
    </row>
    <row r="373">
      <c r="C373" s="14"/>
      <c r="H373" s="13"/>
    </row>
    <row r="374">
      <c r="C374" s="14"/>
      <c r="H374" s="13"/>
    </row>
    <row r="375">
      <c r="C375" s="14"/>
      <c r="H375" s="13"/>
    </row>
    <row r="376">
      <c r="C376" s="14"/>
      <c r="H376" s="13"/>
    </row>
    <row r="377">
      <c r="C377" s="14"/>
      <c r="H377" s="13"/>
    </row>
    <row r="378">
      <c r="C378" s="14"/>
      <c r="H378" s="13"/>
    </row>
    <row r="379">
      <c r="C379" s="14"/>
      <c r="H379" s="13"/>
    </row>
    <row r="380">
      <c r="C380" s="14"/>
      <c r="H380" s="13"/>
    </row>
    <row r="381">
      <c r="C381" s="14"/>
      <c r="H381" s="13"/>
    </row>
    <row r="382">
      <c r="C382" s="14"/>
      <c r="H382" s="13"/>
    </row>
    <row r="383">
      <c r="C383" s="14"/>
      <c r="H383" s="13"/>
    </row>
    <row r="384">
      <c r="C384" s="14"/>
      <c r="H384" s="13"/>
    </row>
    <row r="385">
      <c r="C385" s="14"/>
      <c r="H385" s="13"/>
    </row>
    <row r="386">
      <c r="C386" s="14"/>
      <c r="H386" s="13"/>
    </row>
    <row r="387">
      <c r="C387" s="14"/>
      <c r="H387" s="13"/>
    </row>
    <row r="388">
      <c r="C388" s="14"/>
      <c r="H388" s="13"/>
    </row>
    <row r="389">
      <c r="C389" s="14"/>
      <c r="H389" s="13"/>
    </row>
    <row r="390">
      <c r="C390" s="14"/>
      <c r="H390" s="13"/>
    </row>
    <row r="391">
      <c r="C391" s="14"/>
      <c r="H391" s="13"/>
    </row>
    <row r="392">
      <c r="C392" s="14"/>
      <c r="H392" s="13"/>
    </row>
    <row r="393">
      <c r="C393" s="14"/>
      <c r="H393" s="13"/>
    </row>
    <row r="394">
      <c r="C394" s="14"/>
      <c r="H394" s="13"/>
    </row>
    <row r="395">
      <c r="C395" s="14"/>
      <c r="H395" s="13"/>
    </row>
    <row r="396">
      <c r="C396" s="14"/>
      <c r="H396" s="13"/>
    </row>
    <row r="397">
      <c r="C397" s="14"/>
      <c r="H397" s="13"/>
    </row>
    <row r="398">
      <c r="C398" s="14"/>
      <c r="H398" s="13"/>
    </row>
    <row r="399">
      <c r="C399" s="14"/>
      <c r="H399" s="13"/>
    </row>
    <row r="400">
      <c r="C400" s="14"/>
      <c r="H400" s="13"/>
    </row>
    <row r="401">
      <c r="C401" s="14"/>
      <c r="H401" s="13"/>
    </row>
    <row r="402">
      <c r="C402" s="14"/>
      <c r="H402" s="13"/>
    </row>
    <row r="403">
      <c r="C403" s="14"/>
      <c r="H403" s="13"/>
    </row>
    <row r="404">
      <c r="C404" s="14"/>
      <c r="H404" s="13"/>
    </row>
    <row r="405">
      <c r="C405" s="14"/>
      <c r="H405" s="13"/>
    </row>
    <row r="406">
      <c r="C406" s="14"/>
      <c r="H406" s="13"/>
    </row>
    <row r="407">
      <c r="C407" s="14"/>
      <c r="H407" s="13"/>
    </row>
    <row r="408">
      <c r="C408" s="14"/>
      <c r="H408" s="13"/>
    </row>
    <row r="409">
      <c r="C409" s="14"/>
      <c r="H409" s="13"/>
    </row>
    <row r="410">
      <c r="C410" s="14"/>
      <c r="H410" s="13"/>
    </row>
    <row r="411">
      <c r="C411" s="14"/>
      <c r="H411" s="13"/>
    </row>
    <row r="412">
      <c r="C412" s="14"/>
      <c r="H412" s="13"/>
    </row>
    <row r="413">
      <c r="C413" s="14"/>
      <c r="H413" s="13"/>
    </row>
    <row r="414">
      <c r="C414" s="14"/>
      <c r="H414" s="13"/>
    </row>
    <row r="415">
      <c r="C415" s="14"/>
      <c r="H415" s="13"/>
    </row>
    <row r="416">
      <c r="C416" s="14"/>
      <c r="H416" s="13"/>
    </row>
    <row r="417">
      <c r="C417" s="14"/>
      <c r="H417" s="13"/>
    </row>
    <row r="418">
      <c r="C418" s="14"/>
      <c r="H418" s="13"/>
    </row>
    <row r="419">
      <c r="C419" s="14"/>
      <c r="H419" s="13"/>
    </row>
    <row r="420">
      <c r="C420" s="14"/>
      <c r="H420" s="13"/>
    </row>
    <row r="421">
      <c r="C421" s="14"/>
      <c r="H421" s="13"/>
    </row>
    <row r="422">
      <c r="C422" s="14"/>
      <c r="H422" s="13"/>
    </row>
    <row r="423">
      <c r="C423" s="14"/>
      <c r="H423" s="13"/>
    </row>
    <row r="424">
      <c r="C424" s="14"/>
      <c r="H424" s="13"/>
    </row>
    <row r="425">
      <c r="C425" s="14"/>
      <c r="H425" s="13"/>
    </row>
    <row r="426">
      <c r="C426" s="14"/>
      <c r="H426" s="13"/>
    </row>
    <row r="427">
      <c r="C427" s="14"/>
      <c r="H427" s="13"/>
    </row>
    <row r="428">
      <c r="C428" s="14"/>
      <c r="H428" s="13"/>
    </row>
    <row r="429">
      <c r="C429" s="14"/>
      <c r="H429" s="13"/>
    </row>
    <row r="430">
      <c r="C430" s="14"/>
      <c r="H430" s="13"/>
    </row>
    <row r="431">
      <c r="C431" s="14"/>
      <c r="H431" s="13"/>
    </row>
    <row r="432">
      <c r="C432" s="14"/>
      <c r="H432" s="13"/>
    </row>
    <row r="433">
      <c r="C433" s="14"/>
      <c r="H433" s="13"/>
    </row>
    <row r="434">
      <c r="C434" s="14"/>
      <c r="H434" s="13"/>
    </row>
    <row r="435">
      <c r="C435" s="14"/>
      <c r="H435" s="13"/>
    </row>
    <row r="436">
      <c r="C436" s="14"/>
      <c r="H436" s="13"/>
    </row>
    <row r="437">
      <c r="C437" s="14"/>
      <c r="H437" s="13"/>
    </row>
    <row r="438">
      <c r="C438" s="14"/>
      <c r="H438" s="13"/>
    </row>
    <row r="439">
      <c r="C439" s="14"/>
      <c r="H439" s="13"/>
    </row>
    <row r="440">
      <c r="C440" s="14"/>
      <c r="H440" s="13"/>
    </row>
    <row r="441">
      <c r="C441" s="14"/>
      <c r="H441" s="13"/>
    </row>
    <row r="442">
      <c r="C442" s="14"/>
      <c r="H442" s="13"/>
    </row>
    <row r="443">
      <c r="C443" s="14"/>
      <c r="H443" s="13"/>
    </row>
    <row r="444">
      <c r="C444" s="14"/>
      <c r="H444" s="13"/>
    </row>
    <row r="445">
      <c r="C445" s="14"/>
      <c r="H445" s="13"/>
    </row>
    <row r="446">
      <c r="C446" s="14"/>
      <c r="H446" s="13"/>
    </row>
    <row r="447">
      <c r="C447" s="14"/>
      <c r="H447" s="13"/>
    </row>
    <row r="448">
      <c r="C448" s="14"/>
      <c r="H448" s="13"/>
    </row>
    <row r="449">
      <c r="C449" s="14"/>
      <c r="H449" s="13"/>
    </row>
    <row r="450">
      <c r="C450" s="14"/>
      <c r="H450" s="13"/>
    </row>
    <row r="451">
      <c r="C451" s="14"/>
      <c r="H451" s="13"/>
    </row>
    <row r="452">
      <c r="C452" s="14"/>
      <c r="H452" s="13"/>
    </row>
    <row r="453">
      <c r="C453" s="14"/>
      <c r="H453" s="13"/>
    </row>
    <row r="454">
      <c r="C454" s="14"/>
      <c r="H454" s="13"/>
    </row>
    <row r="455">
      <c r="C455" s="14"/>
      <c r="H455" s="13"/>
    </row>
    <row r="456">
      <c r="C456" s="14"/>
      <c r="H456" s="13"/>
    </row>
    <row r="457">
      <c r="C457" s="14"/>
      <c r="H457" s="13"/>
    </row>
    <row r="458">
      <c r="C458" s="14"/>
      <c r="H458" s="13"/>
    </row>
    <row r="459">
      <c r="C459" s="14"/>
      <c r="H459" s="13"/>
    </row>
    <row r="460">
      <c r="C460" s="14"/>
      <c r="H460" s="13"/>
    </row>
    <row r="461">
      <c r="C461" s="14"/>
      <c r="H461" s="13"/>
    </row>
    <row r="462">
      <c r="C462" s="14"/>
      <c r="H462" s="13"/>
    </row>
    <row r="463">
      <c r="C463" s="14"/>
      <c r="H463" s="13"/>
    </row>
    <row r="464">
      <c r="C464" s="14"/>
      <c r="H464" s="13"/>
    </row>
    <row r="465">
      <c r="C465" s="14"/>
      <c r="H465" s="13"/>
    </row>
    <row r="466">
      <c r="C466" s="14"/>
      <c r="H466" s="13"/>
    </row>
    <row r="467">
      <c r="C467" s="14"/>
      <c r="H467" s="13"/>
    </row>
    <row r="468">
      <c r="C468" s="14"/>
      <c r="H468" s="13"/>
    </row>
    <row r="469">
      <c r="C469" s="14"/>
      <c r="H469" s="13"/>
    </row>
    <row r="470">
      <c r="C470" s="14"/>
      <c r="H470" s="13"/>
    </row>
    <row r="471">
      <c r="C471" s="14"/>
      <c r="H471" s="13"/>
    </row>
    <row r="472">
      <c r="C472" s="14"/>
      <c r="H472" s="13"/>
    </row>
    <row r="473">
      <c r="C473" s="14"/>
      <c r="H473" s="13"/>
    </row>
    <row r="474">
      <c r="C474" s="14"/>
      <c r="H474" s="13"/>
    </row>
    <row r="475">
      <c r="C475" s="14"/>
      <c r="H475" s="13"/>
    </row>
    <row r="476">
      <c r="C476" s="14"/>
      <c r="H476" s="13"/>
    </row>
    <row r="477">
      <c r="C477" s="14"/>
      <c r="H477" s="13"/>
    </row>
    <row r="478">
      <c r="C478" s="14"/>
      <c r="H478" s="13"/>
    </row>
    <row r="479">
      <c r="C479" s="14"/>
      <c r="H479" s="13"/>
    </row>
    <row r="480">
      <c r="C480" s="14"/>
      <c r="H480" s="13"/>
    </row>
    <row r="481">
      <c r="C481" s="14"/>
      <c r="H481" s="13"/>
    </row>
    <row r="482">
      <c r="C482" s="14"/>
      <c r="H482" s="13"/>
    </row>
    <row r="483">
      <c r="C483" s="14"/>
      <c r="H483" s="13"/>
    </row>
    <row r="484">
      <c r="C484" s="14"/>
      <c r="H484" s="13"/>
    </row>
    <row r="485">
      <c r="C485" s="14"/>
      <c r="H485" s="13"/>
    </row>
    <row r="486">
      <c r="C486" s="14"/>
      <c r="H486" s="13"/>
    </row>
    <row r="487">
      <c r="C487" s="14"/>
      <c r="H487" s="13"/>
    </row>
    <row r="488">
      <c r="C488" s="14"/>
      <c r="H488" s="13"/>
    </row>
    <row r="489">
      <c r="C489" s="14"/>
      <c r="H489" s="13"/>
    </row>
    <row r="490">
      <c r="C490" s="14"/>
      <c r="H490" s="13"/>
    </row>
    <row r="491">
      <c r="C491" s="14"/>
      <c r="H491" s="13"/>
    </row>
    <row r="492">
      <c r="C492" s="14"/>
      <c r="H492" s="13"/>
    </row>
    <row r="493">
      <c r="C493" s="14"/>
      <c r="H493" s="13"/>
    </row>
    <row r="494">
      <c r="C494" s="14"/>
      <c r="H494" s="13"/>
    </row>
    <row r="495">
      <c r="C495" s="14"/>
      <c r="H495" s="13"/>
    </row>
    <row r="496">
      <c r="C496" s="14"/>
      <c r="H496" s="13"/>
    </row>
    <row r="497">
      <c r="C497" s="14"/>
      <c r="H497" s="13"/>
    </row>
    <row r="498">
      <c r="C498" s="14"/>
      <c r="H498" s="13"/>
    </row>
    <row r="499">
      <c r="C499" s="14"/>
      <c r="H499" s="13"/>
    </row>
    <row r="500">
      <c r="C500" s="14"/>
      <c r="H500" s="13"/>
    </row>
    <row r="501">
      <c r="C501" s="14"/>
      <c r="H501" s="13"/>
    </row>
    <row r="502">
      <c r="C502" s="14"/>
      <c r="H502" s="13"/>
    </row>
    <row r="503">
      <c r="C503" s="14"/>
      <c r="H503" s="13"/>
    </row>
    <row r="504">
      <c r="C504" s="14"/>
      <c r="H504" s="13"/>
    </row>
    <row r="505">
      <c r="C505" s="14"/>
      <c r="H505" s="13"/>
    </row>
    <row r="506">
      <c r="C506" s="14"/>
      <c r="H506" s="13"/>
    </row>
    <row r="507">
      <c r="C507" s="14"/>
      <c r="H507" s="13"/>
    </row>
    <row r="508">
      <c r="C508" s="14"/>
      <c r="H508" s="13"/>
    </row>
    <row r="509">
      <c r="C509" s="14"/>
      <c r="H509" s="13"/>
    </row>
    <row r="510">
      <c r="C510" s="14"/>
      <c r="H510" s="13"/>
    </row>
    <row r="511">
      <c r="C511" s="14"/>
      <c r="H511" s="13"/>
    </row>
    <row r="512">
      <c r="C512" s="14"/>
      <c r="H512" s="13"/>
    </row>
    <row r="513">
      <c r="C513" s="14"/>
      <c r="H513" s="13"/>
    </row>
    <row r="514">
      <c r="C514" s="14"/>
      <c r="H514" s="13"/>
    </row>
    <row r="515">
      <c r="C515" s="14"/>
      <c r="H515" s="13"/>
    </row>
    <row r="516">
      <c r="C516" s="14"/>
      <c r="H516" s="13"/>
    </row>
    <row r="517">
      <c r="C517" s="14"/>
      <c r="H517" s="13"/>
    </row>
    <row r="518">
      <c r="C518" s="14"/>
      <c r="H518" s="13"/>
    </row>
    <row r="519">
      <c r="C519" s="14"/>
      <c r="H519" s="13"/>
    </row>
    <row r="520">
      <c r="C520" s="14"/>
      <c r="H520" s="13"/>
    </row>
    <row r="521">
      <c r="C521" s="14"/>
      <c r="H521" s="13"/>
    </row>
    <row r="522">
      <c r="C522" s="14"/>
      <c r="H522" s="13"/>
    </row>
    <row r="523">
      <c r="C523" s="14"/>
      <c r="H523" s="13"/>
    </row>
    <row r="524">
      <c r="C524" s="14"/>
      <c r="H524" s="13"/>
    </row>
    <row r="525">
      <c r="C525" s="14"/>
      <c r="H525" s="13"/>
    </row>
    <row r="526">
      <c r="C526" s="14"/>
      <c r="H526" s="13"/>
    </row>
    <row r="527">
      <c r="C527" s="14"/>
      <c r="H527" s="13"/>
    </row>
    <row r="528">
      <c r="C528" s="14"/>
      <c r="H528" s="13"/>
    </row>
    <row r="529">
      <c r="C529" s="14"/>
      <c r="H529" s="13"/>
    </row>
    <row r="530">
      <c r="C530" s="14"/>
      <c r="H530" s="13"/>
    </row>
    <row r="531">
      <c r="C531" s="14"/>
      <c r="H531" s="13"/>
    </row>
    <row r="532">
      <c r="C532" s="14"/>
      <c r="H532" s="13"/>
    </row>
    <row r="533">
      <c r="C533" s="14"/>
      <c r="H533" s="13"/>
    </row>
    <row r="534">
      <c r="C534" s="14"/>
      <c r="H534" s="13"/>
    </row>
    <row r="535">
      <c r="C535" s="14"/>
      <c r="H535" s="13"/>
    </row>
    <row r="536">
      <c r="C536" s="14"/>
      <c r="H536" s="13"/>
    </row>
    <row r="537">
      <c r="C537" s="14"/>
      <c r="H537" s="13"/>
    </row>
    <row r="538">
      <c r="C538" s="14"/>
      <c r="H538" s="13"/>
    </row>
    <row r="539">
      <c r="C539" s="14"/>
      <c r="H539" s="13"/>
    </row>
    <row r="540">
      <c r="C540" s="14"/>
      <c r="H540" s="13"/>
    </row>
    <row r="541">
      <c r="C541" s="14"/>
      <c r="H541" s="13"/>
    </row>
    <row r="542">
      <c r="C542" s="14"/>
      <c r="H542" s="13"/>
    </row>
    <row r="543">
      <c r="C543" s="14"/>
      <c r="H543" s="13"/>
    </row>
    <row r="544">
      <c r="C544" s="14"/>
      <c r="H544" s="13"/>
    </row>
    <row r="545">
      <c r="C545" s="14"/>
      <c r="H545" s="13"/>
    </row>
    <row r="546">
      <c r="C546" s="14"/>
      <c r="H546" s="13"/>
    </row>
    <row r="547">
      <c r="C547" s="14"/>
      <c r="H547" s="13"/>
    </row>
    <row r="548">
      <c r="C548" s="14"/>
      <c r="H548" s="13"/>
    </row>
    <row r="549">
      <c r="C549" s="14"/>
      <c r="H549" s="13"/>
    </row>
    <row r="550">
      <c r="C550" s="14"/>
      <c r="H550" s="13"/>
    </row>
    <row r="551">
      <c r="C551" s="14"/>
      <c r="H551" s="13"/>
    </row>
    <row r="552">
      <c r="C552" s="14"/>
      <c r="H552" s="13"/>
    </row>
    <row r="553">
      <c r="C553" s="14"/>
      <c r="H553" s="13"/>
    </row>
    <row r="554">
      <c r="C554" s="14"/>
      <c r="H554" s="13"/>
    </row>
    <row r="555">
      <c r="C555" s="14"/>
      <c r="H555" s="13"/>
    </row>
    <row r="556">
      <c r="C556" s="14"/>
      <c r="H556" s="13"/>
    </row>
    <row r="557">
      <c r="C557" s="14"/>
      <c r="H557" s="13"/>
    </row>
    <row r="558">
      <c r="C558" s="14"/>
      <c r="H558" s="13"/>
    </row>
    <row r="559">
      <c r="C559" s="14"/>
      <c r="H559" s="13"/>
    </row>
    <row r="560">
      <c r="C560" s="14"/>
      <c r="H560" s="13"/>
    </row>
    <row r="561">
      <c r="C561" s="14"/>
      <c r="H561" s="13"/>
    </row>
    <row r="562">
      <c r="C562" s="14"/>
      <c r="H562" s="13"/>
    </row>
    <row r="563">
      <c r="C563" s="14"/>
      <c r="H563" s="13"/>
    </row>
    <row r="564">
      <c r="C564" s="14"/>
      <c r="H564" s="13"/>
    </row>
    <row r="565">
      <c r="C565" s="14"/>
      <c r="H565" s="13"/>
    </row>
    <row r="566">
      <c r="C566" s="14"/>
      <c r="H566" s="13"/>
    </row>
    <row r="567">
      <c r="C567" s="14"/>
      <c r="H567" s="13"/>
    </row>
    <row r="568">
      <c r="C568" s="14"/>
      <c r="H568" s="13"/>
    </row>
    <row r="569">
      <c r="C569" s="14"/>
      <c r="H569" s="13"/>
    </row>
    <row r="570">
      <c r="C570" s="14"/>
      <c r="H570" s="13"/>
    </row>
    <row r="571">
      <c r="C571" s="14"/>
      <c r="H571" s="13"/>
    </row>
    <row r="572">
      <c r="C572" s="14"/>
      <c r="H572" s="13"/>
    </row>
    <row r="573">
      <c r="C573" s="14"/>
      <c r="H573" s="13"/>
    </row>
    <row r="574">
      <c r="C574" s="14"/>
      <c r="H574" s="13"/>
    </row>
    <row r="575">
      <c r="C575" s="14"/>
      <c r="H575" s="13"/>
    </row>
    <row r="576">
      <c r="C576" s="14"/>
      <c r="H576" s="13"/>
    </row>
    <row r="577">
      <c r="C577" s="14"/>
      <c r="H577" s="13"/>
    </row>
    <row r="578">
      <c r="C578" s="14"/>
      <c r="H578" s="13"/>
    </row>
    <row r="579">
      <c r="C579" s="14"/>
      <c r="H579" s="13"/>
    </row>
    <row r="580">
      <c r="C580" s="14"/>
      <c r="H580" s="13"/>
    </row>
    <row r="581">
      <c r="C581" s="14"/>
      <c r="H581" s="13"/>
    </row>
    <row r="582">
      <c r="C582" s="14"/>
      <c r="H582" s="13"/>
    </row>
    <row r="583">
      <c r="C583" s="14"/>
      <c r="H583" s="13"/>
    </row>
    <row r="584">
      <c r="C584" s="14"/>
      <c r="H584" s="13"/>
    </row>
    <row r="585">
      <c r="C585" s="14"/>
      <c r="H585" s="13"/>
    </row>
    <row r="586">
      <c r="C586" s="14"/>
      <c r="H586" s="13"/>
    </row>
    <row r="587">
      <c r="C587" s="14"/>
      <c r="H587" s="13"/>
    </row>
    <row r="588">
      <c r="C588" s="14"/>
      <c r="H588" s="13"/>
    </row>
    <row r="589">
      <c r="C589" s="14"/>
      <c r="H589" s="13"/>
    </row>
    <row r="590">
      <c r="C590" s="14"/>
      <c r="H590" s="13"/>
    </row>
    <row r="591">
      <c r="C591" s="14"/>
      <c r="H591" s="13"/>
    </row>
    <row r="592">
      <c r="C592" s="14"/>
      <c r="H592" s="13"/>
    </row>
    <row r="593">
      <c r="C593" s="14"/>
      <c r="H593" s="13"/>
    </row>
    <row r="594">
      <c r="C594" s="14"/>
      <c r="H594" s="13"/>
    </row>
    <row r="595">
      <c r="C595" s="14"/>
      <c r="H595" s="13"/>
    </row>
    <row r="596">
      <c r="C596" s="14"/>
      <c r="H596" s="13"/>
    </row>
    <row r="597">
      <c r="C597" s="14"/>
      <c r="H597" s="13"/>
    </row>
    <row r="598">
      <c r="C598" s="14"/>
      <c r="H598" s="13"/>
    </row>
    <row r="599">
      <c r="C599" s="14"/>
      <c r="H599" s="13"/>
    </row>
    <row r="600">
      <c r="C600" s="14"/>
      <c r="H600" s="13"/>
    </row>
    <row r="601">
      <c r="C601" s="14"/>
      <c r="H601" s="13"/>
    </row>
    <row r="602">
      <c r="C602" s="14"/>
      <c r="H602" s="13"/>
    </row>
    <row r="603">
      <c r="C603" s="14"/>
      <c r="H603" s="13"/>
    </row>
    <row r="604">
      <c r="C604" s="14"/>
      <c r="H604" s="13"/>
    </row>
    <row r="605">
      <c r="C605" s="14"/>
      <c r="H605" s="13"/>
    </row>
    <row r="606">
      <c r="C606" s="14"/>
      <c r="H606" s="13"/>
    </row>
    <row r="607">
      <c r="C607" s="14"/>
      <c r="H607" s="13"/>
    </row>
    <row r="608">
      <c r="C608" s="14"/>
      <c r="H608" s="13"/>
    </row>
    <row r="609">
      <c r="C609" s="14"/>
      <c r="H609" s="13"/>
    </row>
    <row r="610">
      <c r="C610" s="14"/>
      <c r="H610" s="13"/>
    </row>
    <row r="611">
      <c r="C611" s="14"/>
      <c r="H611" s="13"/>
    </row>
    <row r="612">
      <c r="C612" s="14"/>
      <c r="H612" s="13"/>
    </row>
    <row r="613">
      <c r="C613" s="14"/>
      <c r="H613" s="13"/>
    </row>
    <row r="614">
      <c r="C614" s="14"/>
      <c r="H614" s="13"/>
    </row>
    <row r="615">
      <c r="C615" s="14"/>
      <c r="H615" s="13"/>
    </row>
    <row r="616">
      <c r="C616" s="14"/>
      <c r="H616" s="13"/>
    </row>
    <row r="617">
      <c r="C617" s="14"/>
      <c r="H617" s="13"/>
    </row>
    <row r="618">
      <c r="C618" s="14"/>
      <c r="H618" s="13"/>
    </row>
    <row r="619">
      <c r="C619" s="14"/>
      <c r="H619" s="13"/>
    </row>
    <row r="620">
      <c r="C620" s="14"/>
      <c r="H620" s="13"/>
    </row>
    <row r="621">
      <c r="C621" s="14"/>
      <c r="H621" s="13"/>
    </row>
    <row r="622">
      <c r="C622" s="14"/>
      <c r="H622" s="13"/>
    </row>
    <row r="623">
      <c r="C623" s="14"/>
      <c r="H623" s="13"/>
    </row>
    <row r="624">
      <c r="C624" s="14"/>
      <c r="H624" s="13"/>
    </row>
    <row r="625">
      <c r="C625" s="14"/>
      <c r="H625" s="13"/>
    </row>
    <row r="626">
      <c r="C626" s="14"/>
      <c r="H626" s="13"/>
    </row>
    <row r="627">
      <c r="C627" s="14"/>
      <c r="H627" s="13"/>
    </row>
    <row r="628">
      <c r="C628" s="14"/>
      <c r="H628" s="13"/>
    </row>
    <row r="629">
      <c r="C629" s="14"/>
      <c r="H629" s="13"/>
    </row>
    <row r="630">
      <c r="C630" s="14"/>
      <c r="H630" s="13"/>
    </row>
    <row r="631">
      <c r="C631" s="14"/>
      <c r="H631" s="13"/>
    </row>
    <row r="632">
      <c r="C632" s="14"/>
      <c r="H632" s="13"/>
    </row>
    <row r="633">
      <c r="C633" s="14"/>
      <c r="H633" s="13"/>
    </row>
    <row r="634">
      <c r="C634" s="14"/>
      <c r="H634" s="13"/>
    </row>
    <row r="635">
      <c r="C635" s="14"/>
      <c r="H635" s="13"/>
    </row>
    <row r="636">
      <c r="C636" s="14"/>
      <c r="H636" s="13"/>
    </row>
    <row r="637">
      <c r="C637" s="14"/>
      <c r="H637" s="13"/>
    </row>
    <row r="638">
      <c r="C638" s="14"/>
      <c r="H638" s="13"/>
    </row>
    <row r="639">
      <c r="C639" s="14"/>
      <c r="H639" s="13"/>
    </row>
    <row r="640">
      <c r="C640" s="14"/>
      <c r="H640" s="13"/>
    </row>
    <row r="641">
      <c r="C641" s="14"/>
      <c r="H641" s="13"/>
    </row>
    <row r="642">
      <c r="C642" s="14"/>
      <c r="H642" s="13"/>
    </row>
    <row r="643">
      <c r="C643" s="14"/>
      <c r="H643" s="13"/>
    </row>
    <row r="644">
      <c r="C644" s="14"/>
      <c r="H644" s="13"/>
    </row>
    <row r="645">
      <c r="C645" s="14"/>
      <c r="H645" s="13"/>
    </row>
    <row r="646">
      <c r="C646" s="14"/>
      <c r="H646" s="13"/>
    </row>
    <row r="647">
      <c r="C647" s="14"/>
      <c r="H647" s="13"/>
    </row>
    <row r="648">
      <c r="C648" s="14"/>
      <c r="H648" s="13"/>
    </row>
    <row r="649">
      <c r="C649" s="14"/>
      <c r="H649" s="13"/>
    </row>
    <row r="650">
      <c r="C650" s="14"/>
      <c r="H650" s="13"/>
    </row>
    <row r="651">
      <c r="C651" s="14"/>
      <c r="H651" s="13"/>
    </row>
    <row r="652">
      <c r="C652" s="14"/>
      <c r="H652" s="13"/>
    </row>
    <row r="653">
      <c r="C653" s="14"/>
      <c r="H653" s="13"/>
    </row>
    <row r="654">
      <c r="C654" s="14"/>
      <c r="H654" s="13"/>
    </row>
    <row r="655">
      <c r="C655" s="14"/>
      <c r="H655" s="13"/>
    </row>
    <row r="656">
      <c r="C656" s="14"/>
      <c r="H656" s="13"/>
    </row>
    <row r="657">
      <c r="C657" s="14"/>
      <c r="H657" s="13"/>
    </row>
    <row r="658">
      <c r="C658" s="14"/>
      <c r="H658" s="13"/>
    </row>
    <row r="659">
      <c r="C659" s="14"/>
      <c r="H659" s="13"/>
    </row>
    <row r="660">
      <c r="C660" s="14"/>
      <c r="H660" s="13"/>
    </row>
    <row r="661">
      <c r="C661" s="14"/>
      <c r="H661" s="13"/>
    </row>
    <row r="662">
      <c r="C662" s="14"/>
      <c r="H662" s="13"/>
    </row>
    <row r="663">
      <c r="C663" s="14"/>
      <c r="H663" s="13"/>
    </row>
    <row r="664">
      <c r="C664" s="14"/>
      <c r="H664" s="13"/>
    </row>
    <row r="665">
      <c r="C665" s="14"/>
      <c r="H665" s="13"/>
    </row>
    <row r="666">
      <c r="C666" s="14"/>
      <c r="H666" s="13"/>
    </row>
    <row r="667">
      <c r="C667" s="14"/>
      <c r="H667" s="13"/>
    </row>
    <row r="668">
      <c r="C668" s="14"/>
      <c r="H668" s="13"/>
    </row>
    <row r="669">
      <c r="C669" s="14"/>
      <c r="H669" s="13"/>
    </row>
    <row r="670">
      <c r="C670" s="14"/>
      <c r="H670" s="13"/>
    </row>
    <row r="671">
      <c r="C671" s="14"/>
      <c r="H671" s="13"/>
    </row>
    <row r="672">
      <c r="C672" s="14"/>
      <c r="H672" s="13"/>
    </row>
    <row r="673">
      <c r="C673" s="14"/>
      <c r="H673" s="13"/>
    </row>
    <row r="674">
      <c r="C674" s="14"/>
      <c r="H674" s="13"/>
    </row>
    <row r="675">
      <c r="C675" s="14"/>
      <c r="H675" s="13"/>
    </row>
    <row r="676">
      <c r="C676" s="14"/>
      <c r="H676" s="13"/>
    </row>
    <row r="677">
      <c r="C677" s="14"/>
      <c r="H677" s="13"/>
    </row>
    <row r="678">
      <c r="C678" s="14"/>
      <c r="H678" s="13"/>
    </row>
    <row r="679">
      <c r="C679" s="14"/>
      <c r="H679" s="13"/>
    </row>
    <row r="680">
      <c r="C680" s="14"/>
      <c r="H680" s="13"/>
    </row>
    <row r="681">
      <c r="C681" s="14"/>
      <c r="H681" s="13"/>
    </row>
    <row r="682">
      <c r="C682" s="14"/>
      <c r="H682" s="13"/>
    </row>
    <row r="683">
      <c r="C683" s="14"/>
      <c r="H683" s="13"/>
    </row>
    <row r="684">
      <c r="C684" s="14"/>
      <c r="H684" s="13"/>
    </row>
    <row r="685">
      <c r="C685" s="14"/>
      <c r="H685" s="13"/>
    </row>
    <row r="686">
      <c r="C686" s="14"/>
      <c r="H686" s="13"/>
    </row>
    <row r="687">
      <c r="C687" s="14"/>
      <c r="H687" s="13"/>
    </row>
    <row r="688">
      <c r="C688" s="14"/>
      <c r="H688" s="13"/>
    </row>
    <row r="689">
      <c r="C689" s="14"/>
      <c r="H689" s="13"/>
    </row>
    <row r="690">
      <c r="C690" s="14"/>
      <c r="H690" s="13"/>
    </row>
    <row r="691">
      <c r="C691" s="14"/>
      <c r="H691" s="13"/>
    </row>
    <row r="692">
      <c r="C692" s="14"/>
      <c r="H692" s="13"/>
    </row>
    <row r="693">
      <c r="C693" s="14"/>
      <c r="H693" s="13"/>
    </row>
    <row r="694">
      <c r="C694" s="14"/>
      <c r="H694" s="13"/>
    </row>
    <row r="695">
      <c r="C695" s="14"/>
      <c r="H695" s="13"/>
    </row>
    <row r="696">
      <c r="C696" s="14"/>
      <c r="H696" s="13"/>
    </row>
    <row r="697">
      <c r="C697" s="14"/>
      <c r="H697" s="13"/>
    </row>
    <row r="698">
      <c r="C698" s="14"/>
      <c r="H698" s="13"/>
    </row>
    <row r="699">
      <c r="C699" s="14"/>
      <c r="H699" s="13"/>
    </row>
    <row r="700">
      <c r="C700" s="14"/>
      <c r="H700" s="13"/>
    </row>
    <row r="701">
      <c r="C701" s="14"/>
      <c r="H701" s="13"/>
    </row>
    <row r="702">
      <c r="C702" s="14"/>
      <c r="H702" s="13"/>
    </row>
    <row r="703">
      <c r="C703" s="14"/>
      <c r="H703" s="13"/>
    </row>
    <row r="704">
      <c r="C704" s="14"/>
      <c r="H704" s="13"/>
    </row>
    <row r="705">
      <c r="C705" s="14"/>
      <c r="H705" s="13"/>
    </row>
    <row r="706">
      <c r="C706" s="14"/>
      <c r="H706" s="13"/>
    </row>
    <row r="707">
      <c r="C707" s="14"/>
      <c r="H707" s="13"/>
    </row>
    <row r="708">
      <c r="C708" s="14"/>
      <c r="H708" s="13"/>
    </row>
    <row r="709">
      <c r="C709" s="14"/>
      <c r="H709" s="13"/>
    </row>
    <row r="710">
      <c r="C710" s="14"/>
      <c r="H710" s="13"/>
    </row>
    <row r="711">
      <c r="C711" s="14"/>
      <c r="H711" s="13"/>
    </row>
    <row r="712">
      <c r="C712" s="14"/>
      <c r="H712" s="13"/>
    </row>
    <row r="713">
      <c r="C713" s="14"/>
      <c r="H713" s="13"/>
    </row>
    <row r="714">
      <c r="C714" s="14"/>
      <c r="H714" s="13"/>
    </row>
    <row r="715">
      <c r="C715" s="14"/>
      <c r="H715" s="13"/>
    </row>
    <row r="716">
      <c r="C716" s="14"/>
      <c r="H716" s="13"/>
    </row>
    <row r="717">
      <c r="C717" s="14"/>
      <c r="H717" s="13"/>
    </row>
    <row r="718">
      <c r="C718" s="14"/>
      <c r="H718" s="13"/>
    </row>
    <row r="719">
      <c r="C719" s="14"/>
      <c r="H719" s="13"/>
    </row>
    <row r="720">
      <c r="C720" s="14"/>
      <c r="H720" s="13"/>
    </row>
    <row r="721">
      <c r="C721" s="14"/>
      <c r="H721" s="13"/>
    </row>
    <row r="722">
      <c r="C722" s="14"/>
      <c r="H722" s="13"/>
    </row>
    <row r="723">
      <c r="C723" s="14"/>
      <c r="H723" s="13"/>
    </row>
    <row r="724">
      <c r="C724" s="14"/>
      <c r="H724" s="13"/>
    </row>
    <row r="725">
      <c r="C725" s="14"/>
      <c r="H725" s="13"/>
    </row>
    <row r="726">
      <c r="C726" s="14"/>
      <c r="H726" s="13"/>
    </row>
    <row r="727">
      <c r="C727" s="14"/>
      <c r="H727" s="13"/>
    </row>
    <row r="728">
      <c r="C728" s="14"/>
      <c r="H728" s="13"/>
    </row>
    <row r="729">
      <c r="C729" s="14"/>
      <c r="H729" s="13"/>
    </row>
    <row r="730">
      <c r="C730" s="14"/>
      <c r="H730" s="13"/>
    </row>
    <row r="731">
      <c r="C731" s="14"/>
      <c r="H731" s="13"/>
    </row>
    <row r="732">
      <c r="C732" s="14"/>
      <c r="H732" s="13"/>
    </row>
    <row r="733">
      <c r="C733" s="14"/>
      <c r="H733" s="13"/>
    </row>
    <row r="734">
      <c r="C734" s="14"/>
      <c r="H734" s="13"/>
    </row>
    <row r="735">
      <c r="C735" s="14"/>
      <c r="H735" s="13"/>
    </row>
    <row r="736">
      <c r="C736" s="14"/>
      <c r="H736" s="13"/>
    </row>
    <row r="737">
      <c r="C737" s="14"/>
      <c r="H737" s="13"/>
    </row>
    <row r="738">
      <c r="C738" s="14"/>
      <c r="H738" s="13"/>
    </row>
    <row r="739">
      <c r="C739" s="14"/>
      <c r="H739" s="13"/>
    </row>
    <row r="740">
      <c r="C740" s="14"/>
      <c r="H740" s="13"/>
    </row>
    <row r="741">
      <c r="C741" s="14"/>
      <c r="H741" s="13"/>
    </row>
    <row r="742">
      <c r="C742" s="14"/>
      <c r="H742" s="13"/>
    </row>
    <row r="743">
      <c r="C743" s="14"/>
      <c r="H743" s="13"/>
    </row>
    <row r="744">
      <c r="C744" s="14"/>
      <c r="H744" s="13"/>
    </row>
    <row r="745">
      <c r="C745" s="14"/>
      <c r="H745" s="13"/>
    </row>
    <row r="746">
      <c r="C746" s="14"/>
      <c r="H746" s="13"/>
    </row>
    <row r="747">
      <c r="C747" s="14"/>
      <c r="H747" s="13"/>
    </row>
    <row r="748">
      <c r="C748" s="14"/>
      <c r="H748" s="13"/>
    </row>
    <row r="749">
      <c r="C749" s="14"/>
      <c r="H749" s="13"/>
    </row>
    <row r="750">
      <c r="C750" s="14"/>
      <c r="H750" s="13"/>
    </row>
    <row r="751">
      <c r="C751" s="14"/>
      <c r="H751" s="13"/>
    </row>
    <row r="752">
      <c r="C752" s="14"/>
      <c r="H752" s="13"/>
    </row>
    <row r="753">
      <c r="C753" s="14"/>
      <c r="H753" s="13"/>
    </row>
    <row r="754">
      <c r="C754" s="14"/>
      <c r="H754" s="13"/>
    </row>
    <row r="755">
      <c r="C755" s="14"/>
      <c r="H755" s="13"/>
    </row>
    <row r="756">
      <c r="C756" s="14"/>
      <c r="H756" s="13"/>
    </row>
    <row r="757">
      <c r="C757" s="14"/>
      <c r="H757" s="13"/>
    </row>
    <row r="758">
      <c r="C758" s="14"/>
      <c r="H758" s="13"/>
    </row>
    <row r="759">
      <c r="C759" s="14"/>
      <c r="H759" s="13"/>
    </row>
    <row r="760">
      <c r="C760" s="14"/>
      <c r="H760" s="13"/>
    </row>
    <row r="761">
      <c r="C761" s="14"/>
      <c r="H761" s="13"/>
    </row>
    <row r="762">
      <c r="C762" s="14"/>
      <c r="H762" s="13"/>
    </row>
    <row r="763">
      <c r="C763" s="14"/>
      <c r="H763" s="13"/>
    </row>
    <row r="764">
      <c r="C764" s="14"/>
      <c r="H764" s="13"/>
    </row>
    <row r="765">
      <c r="C765" s="14"/>
      <c r="H765" s="13"/>
    </row>
    <row r="766">
      <c r="C766" s="14"/>
      <c r="H766" s="13"/>
    </row>
    <row r="767">
      <c r="C767" s="14"/>
      <c r="H767" s="13"/>
    </row>
    <row r="768">
      <c r="C768" s="14"/>
      <c r="H768" s="13"/>
    </row>
    <row r="769">
      <c r="C769" s="14"/>
      <c r="H769" s="13"/>
    </row>
    <row r="770">
      <c r="C770" s="14"/>
      <c r="H770" s="13"/>
    </row>
    <row r="771">
      <c r="C771" s="14"/>
      <c r="H771" s="13"/>
    </row>
    <row r="772">
      <c r="C772" s="14"/>
      <c r="H772" s="13"/>
    </row>
    <row r="773">
      <c r="C773" s="14"/>
      <c r="H773" s="13"/>
    </row>
    <row r="774">
      <c r="C774" s="14"/>
      <c r="H774" s="13"/>
    </row>
    <row r="775">
      <c r="C775" s="14"/>
      <c r="H775" s="13"/>
    </row>
    <row r="776">
      <c r="C776" s="14"/>
      <c r="H776" s="13"/>
    </row>
    <row r="777">
      <c r="C777" s="14"/>
      <c r="H777" s="13"/>
    </row>
    <row r="778">
      <c r="C778" s="14"/>
      <c r="H778" s="13"/>
    </row>
    <row r="779">
      <c r="C779" s="14"/>
      <c r="H779" s="13"/>
    </row>
    <row r="780">
      <c r="C780" s="14"/>
      <c r="H780" s="13"/>
    </row>
    <row r="781">
      <c r="C781" s="14"/>
      <c r="H781" s="13"/>
    </row>
    <row r="782">
      <c r="C782" s="14"/>
      <c r="H782" s="13"/>
    </row>
    <row r="783">
      <c r="C783" s="14"/>
      <c r="H783" s="13"/>
    </row>
    <row r="784">
      <c r="C784" s="14"/>
      <c r="H784" s="13"/>
    </row>
    <row r="785">
      <c r="C785" s="14"/>
      <c r="H785" s="13"/>
    </row>
    <row r="786">
      <c r="C786" s="14"/>
      <c r="H786" s="13"/>
    </row>
    <row r="787">
      <c r="C787" s="14"/>
      <c r="H787" s="13"/>
    </row>
    <row r="788">
      <c r="C788" s="14"/>
      <c r="H788" s="13"/>
    </row>
    <row r="789">
      <c r="C789" s="14"/>
      <c r="H789" s="13"/>
    </row>
    <row r="790">
      <c r="C790" s="14"/>
      <c r="H790" s="13"/>
    </row>
    <row r="791">
      <c r="C791" s="14"/>
      <c r="H791" s="13"/>
    </row>
    <row r="792">
      <c r="C792" s="14"/>
      <c r="H792" s="13"/>
    </row>
    <row r="793">
      <c r="C793" s="14"/>
      <c r="H793" s="13"/>
    </row>
    <row r="794">
      <c r="C794" s="14"/>
      <c r="H794" s="13"/>
    </row>
    <row r="795">
      <c r="C795" s="14"/>
      <c r="H795" s="13"/>
    </row>
    <row r="796">
      <c r="C796" s="14"/>
      <c r="H796" s="13"/>
    </row>
    <row r="797">
      <c r="C797" s="14"/>
      <c r="H797" s="13"/>
    </row>
    <row r="798">
      <c r="C798" s="14"/>
      <c r="H798" s="13"/>
    </row>
    <row r="799">
      <c r="C799" s="14"/>
      <c r="H799" s="13"/>
    </row>
    <row r="800">
      <c r="C800" s="14"/>
      <c r="H800" s="13"/>
    </row>
    <row r="801">
      <c r="C801" s="14"/>
      <c r="H801" s="13"/>
    </row>
    <row r="802">
      <c r="C802" s="14"/>
      <c r="H802" s="13"/>
    </row>
    <row r="803">
      <c r="C803" s="14"/>
      <c r="H803" s="13"/>
    </row>
    <row r="804">
      <c r="C804" s="14"/>
      <c r="H804" s="13"/>
    </row>
    <row r="805">
      <c r="C805" s="14"/>
      <c r="H805" s="13"/>
    </row>
    <row r="806">
      <c r="C806" s="14"/>
      <c r="H806" s="13"/>
    </row>
    <row r="807">
      <c r="C807" s="14"/>
      <c r="H807" s="13"/>
    </row>
    <row r="808">
      <c r="C808" s="14"/>
      <c r="H808" s="13"/>
    </row>
    <row r="809">
      <c r="C809" s="14"/>
      <c r="H809" s="13"/>
    </row>
    <row r="810">
      <c r="C810" s="14"/>
      <c r="H810" s="13"/>
    </row>
    <row r="811">
      <c r="C811" s="14"/>
      <c r="H811" s="13"/>
    </row>
    <row r="812">
      <c r="C812" s="14"/>
      <c r="H812" s="13"/>
    </row>
    <row r="813">
      <c r="C813" s="14"/>
      <c r="H813" s="13"/>
    </row>
    <row r="814">
      <c r="C814" s="14"/>
      <c r="H814" s="13"/>
    </row>
    <row r="815">
      <c r="C815" s="14"/>
      <c r="H815" s="13"/>
    </row>
    <row r="816">
      <c r="C816" s="14"/>
      <c r="H816" s="13"/>
    </row>
    <row r="817">
      <c r="C817" s="14"/>
      <c r="H817" s="13"/>
    </row>
    <row r="818">
      <c r="C818" s="14"/>
      <c r="H818" s="13"/>
    </row>
    <row r="819">
      <c r="C819" s="14"/>
      <c r="H819" s="13"/>
    </row>
    <row r="820">
      <c r="C820" s="14"/>
      <c r="H820" s="13"/>
    </row>
    <row r="821">
      <c r="C821" s="14"/>
      <c r="H821" s="13"/>
    </row>
    <row r="822">
      <c r="C822" s="14"/>
      <c r="H822" s="13"/>
    </row>
    <row r="823">
      <c r="C823" s="14"/>
      <c r="H823" s="13"/>
    </row>
    <row r="824">
      <c r="C824" s="14"/>
      <c r="H824" s="13"/>
    </row>
    <row r="825">
      <c r="C825" s="14"/>
      <c r="H825" s="13"/>
    </row>
    <row r="826">
      <c r="C826" s="14"/>
      <c r="H826" s="13"/>
    </row>
    <row r="827">
      <c r="C827" s="14"/>
      <c r="H827" s="13"/>
    </row>
    <row r="828">
      <c r="C828" s="14"/>
      <c r="H828" s="13"/>
    </row>
    <row r="829">
      <c r="C829" s="14"/>
      <c r="H829" s="13"/>
    </row>
    <row r="830">
      <c r="C830" s="14"/>
      <c r="H830" s="13"/>
    </row>
    <row r="831">
      <c r="C831" s="14"/>
      <c r="H831" s="13"/>
    </row>
    <row r="832">
      <c r="C832" s="14"/>
      <c r="H832" s="13"/>
    </row>
    <row r="833">
      <c r="C833" s="14"/>
      <c r="H833" s="13"/>
    </row>
    <row r="834">
      <c r="C834" s="14"/>
      <c r="H834" s="13"/>
    </row>
    <row r="835">
      <c r="C835" s="14"/>
      <c r="H835" s="13"/>
    </row>
    <row r="836">
      <c r="C836" s="14"/>
      <c r="H836" s="13"/>
    </row>
    <row r="837">
      <c r="C837" s="14"/>
      <c r="H837" s="13"/>
    </row>
    <row r="838">
      <c r="C838" s="14"/>
      <c r="H838" s="13"/>
    </row>
    <row r="839">
      <c r="C839" s="14"/>
      <c r="H839" s="13"/>
    </row>
    <row r="840">
      <c r="C840" s="14"/>
      <c r="H840" s="13"/>
    </row>
    <row r="841">
      <c r="C841" s="14"/>
      <c r="H841" s="13"/>
    </row>
    <row r="842">
      <c r="C842" s="14"/>
      <c r="H842" s="13"/>
    </row>
    <row r="843">
      <c r="C843" s="14"/>
      <c r="H843" s="13"/>
    </row>
    <row r="844">
      <c r="C844" s="14"/>
      <c r="H844" s="13"/>
    </row>
    <row r="845">
      <c r="C845" s="14"/>
      <c r="H845" s="13"/>
    </row>
    <row r="846">
      <c r="C846" s="14"/>
      <c r="H846" s="13"/>
    </row>
    <row r="847">
      <c r="C847" s="14"/>
      <c r="H847" s="13"/>
    </row>
    <row r="848">
      <c r="C848" s="14"/>
      <c r="H848" s="13"/>
    </row>
    <row r="849">
      <c r="C849" s="14"/>
      <c r="H849" s="13"/>
    </row>
    <row r="850">
      <c r="C850" s="14"/>
      <c r="H850" s="13"/>
    </row>
    <row r="851">
      <c r="C851" s="14"/>
      <c r="H851" s="13"/>
    </row>
    <row r="852">
      <c r="C852" s="14"/>
      <c r="H852" s="13"/>
    </row>
    <row r="853">
      <c r="C853" s="14"/>
      <c r="H853" s="13"/>
    </row>
    <row r="854">
      <c r="C854" s="14"/>
      <c r="H854" s="13"/>
    </row>
    <row r="855">
      <c r="C855" s="14"/>
      <c r="H855" s="13"/>
    </row>
    <row r="856">
      <c r="C856" s="14"/>
      <c r="H856" s="13"/>
    </row>
    <row r="857">
      <c r="C857" s="14"/>
      <c r="H857" s="13"/>
    </row>
    <row r="858">
      <c r="C858" s="14"/>
      <c r="H858" s="13"/>
    </row>
    <row r="859">
      <c r="C859" s="14"/>
      <c r="H859" s="13"/>
    </row>
    <row r="860">
      <c r="C860" s="14"/>
      <c r="H860" s="13"/>
    </row>
    <row r="861">
      <c r="C861" s="14"/>
      <c r="H861" s="13"/>
    </row>
    <row r="862">
      <c r="C862" s="14"/>
      <c r="H862" s="13"/>
    </row>
    <row r="863">
      <c r="C863" s="14"/>
      <c r="H863" s="13"/>
    </row>
    <row r="864">
      <c r="C864" s="14"/>
      <c r="H864" s="13"/>
    </row>
    <row r="865">
      <c r="C865" s="14"/>
      <c r="H865" s="13"/>
    </row>
    <row r="866">
      <c r="C866" s="14"/>
      <c r="H866" s="13"/>
    </row>
    <row r="867">
      <c r="C867" s="14"/>
      <c r="H867" s="13"/>
    </row>
    <row r="868">
      <c r="C868" s="14"/>
      <c r="H868" s="13"/>
    </row>
    <row r="869">
      <c r="C869" s="14"/>
      <c r="H869" s="13"/>
    </row>
    <row r="870">
      <c r="C870" s="14"/>
      <c r="H870" s="13"/>
    </row>
    <row r="871">
      <c r="C871" s="14"/>
      <c r="H871" s="13"/>
    </row>
    <row r="872">
      <c r="C872" s="14"/>
      <c r="H872" s="13"/>
    </row>
    <row r="873">
      <c r="C873" s="14"/>
      <c r="H873" s="13"/>
    </row>
    <row r="874">
      <c r="C874" s="14"/>
      <c r="H874" s="13"/>
    </row>
    <row r="875">
      <c r="C875" s="14"/>
      <c r="H875" s="13"/>
    </row>
    <row r="876">
      <c r="C876" s="14"/>
      <c r="H876" s="13"/>
    </row>
    <row r="877">
      <c r="C877" s="14"/>
      <c r="H877" s="13"/>
    </row>
    <row r="878">
      <c r="C878" s="14"/>
      <c r="H878" s="13"/>
    </row>
    <row r="879">
      <c r="C879" s="14"/>
      <c r="H879" s="13"/>
    </row>
    <row r="880">
      <c r="C880" s="14"/>
      <c r="H880" s="13"/>
    </row>
    <row r="881">
      <c r="C881" s="14"/>
      <c r="H881" s="13"/>
    </row>
    <row r="882">
      <c r="C882" s="14"/>
      <c r="H882" s="13"/>
    </row>
    <row r="883">
      <c r="C883" s="14"/>
      <c r="H883" s="13"/>
    </row>
    <row r="884">
      <c r="C884" s="14"/>
      <c r="H884" s="13"/>
    </row>
    <row r="885">
      <c r="C885" s="14"/>
      <c r="H885" s="13"/>
    </row>
    <row r="886">
      <c r="C886" s="14"/>
      <c r="H886" s="13"/>
    </row>
    <row r="887">
      <c r="C887" s="14"/>
      <c r="H887" s="13"/>
    </row>
    <row r="888">
      <c r="C888" s="14"/>
      <c r="H888" s="13"/>
    </row>
    <row r="889">
      <c r="C889" s="14"/>
      <c r="H889" s="13"/>
    </row>
    <row r="890">
      <c r="C890" s="14"/>
      <c r="H890" s="13"/>
    </row>
    <row r="891">
      <c r="C891" s="14"/>
      <c r="H891" s="13"/>
    </row>
    <row r="892">
      <c r="C892" s="14"/>
      <c r="H892" s="13"/>
    </row>
    <row r="893">
      <c r="C893" s="14"/>
      <c r="H893" s="13"/>
    </row>
    <row r="894">
      <c r="C894" s="14"/>
      <c r="H894" s="13"/>
    </row>
    <row r="895">
      <c r="C895" s="14"/>
      <c r="H895" s="13"/>
    </row>
    <row r="896">
      <c r="C896" s="14"/>
      <c r="H896" s="13"/>
    </row>
    <row r="897">
      <c r="C897" s="14"/>
      <c r="H897" s="13"/>
    </row>
    <row r="898">
      <c r="C898" s="14"/>
      <c r="H898" s="13"/>
    </row>
    <row r="899">
      <c r="C899" s="14"/>
      <c r="H899" s="13"/>
    </row>
    <row r="900">
      <c r="C900" s="14"/>
      <c r="H900" s="13"/>
    </row>
    <row r="901">
      <c r="C901" s="14"/>
      <c r="H901" s="13"/>
    </row>
    <row r="902">
      <c r="C902" s="14"/>
      <c r="H902" s="13"/>
    </row>
    <row r="903">
      <c r="C903" s="14"/>
      <c r="H903" s="13"/>
    </row>
    <row r="904">
      <c r="C904" s="14"/>
      <c r="H904" s="13"/>
    </row>
    <row r="905">
      <c r="C905" s="14"/>
      <c r="H905" s="13"/>
    </row>
    <row r="906">
      <c r="C906" s="14"/>
      <c r="H906" s="13"/>
    </row>
    <row r="907">
      <c r="C907" s="14"/>
      <c r="H907" s="13"/>
    </row>
    <row r="908">
      <c r="C908" s="14"/>
      <c r="H908" s="13"/>
    </row>
    <row r="909">
      <c r="C909" s="14"/>
      <c r="H909" s="13"/>
    </row>
    <row r="910">
      <c r="C910" s="14"/>
      <c r="H910" s="13"/>
    </row>
    <row r="911">
      <c r="C911" s="14"/>
      <c r="H911" s="13"/>
    </row>
    <row r="912">
      <c r="C912" s="14"/>
      <c r="H912" s="13"/>
    </row>
    <row r="913">
      <c r="C913" s="14"/>
      <c r="H913" s="13"/>
    </row>
    <row r="914">
      <c r="C914" s="14"/>
      <c r="H914" s="13"/>
    </row>
    <row r="915">
      <c r="C915" s="14"/>
      <c r="H915" s="13"/>
    </row>
    <row r="916">
      <c r="C916" s="14"/>
      <c r="H916" s="13"/>
    </row>
    <row r="917">
      <c r="C917" s="14"/>
      <c r="H917" s="13"/>
    </row>
    <row r="918">
      <c r="C918" s="14"/>
      <c r="H918" s="13"/>
    </row>
    <row r="919">
      <c r="C919" s="14"/>
      <c r="H919" s="13"/>
    </row>
    <row r="920">
      <c r="C920" s="14"/>
      <c r="H920" s="13"/>
    </row>
    <row r="921">
      <c r="C921" s="14"/>
      <c r="H921" s="13"/>
    </row>
    <row r="922">
      <c r="C922" s="14"/>
      <c r="H922" s="13"/>
    </row>
    <row r="923">
      <c r="C923" s="14"/>
      <c r="H923" s="13"/>
    </row>
    <row r="924">
      <c r="C924" s="14"/>
      <c r="H924" s="13"/>
    </row>
    <row r="925">
      <c r="C925" s="14"/>
      <c r="H925" s="13"/>
    </row>
    <row r="926">
      <c r="C926" s="14"/>
      <c r="H926" s="13"/>
    </row>
    <row r="927">
      <c r="C927" s="14"/>
      <c r="H927" s="13"/>
    </row>
    <row r="928">
      <c r="C928" s="14"/>
      <c r="H928" s="13"/>
    </row>
    <row r="929">
      <c r="C929" s="14"/>
      <c r="H929" s="13"/>
    </row>
    <row r="930">
      <c r="C930" s="14"/>
      <c r="H930" s="13"/>
    </row>
    <row r="931">
      <c r="C931" s="14"/>
      <c r="H931" s="13"/>
    </row>
    <row r="932">
      <c r="C932" s="14"/>
      <c r="H932" s="13"/>
    </row>
    <row r="933">
      <c r="C933" s="14"/>
      <c r="H933" s="13"/>
    </row>
    <row r="934">
      <c r="C934" s="14"/>
      <c r="H934" s="13"/>
    </row>
    <row r="935">
      <c r="C935" s="14"/>
      <c r="H935" s="13"/>
    </row>
    <row r="936">
      <c r="C936" s="14"/>
      <c r="H936" s="13"/>
    </row>
    <row r="937">
      <c r="C937" s="14"/>
      <c r="H937" s="13"/>
    </row>
    <row r="938">
      <c r="C938" s="14"/>
      <c r="H938" s="13"/>
    </row>
    <row r="939">
      <c r="C939" s="14"/>
      <c r="H939" s="13"/>
    </row>
    <row r="940">
      <c r="C940" s="14"/>
      <c r="H940" s="13"/>
    </row>
    <row r="941">
      <c r="C941" s="14"/>
      <c r="H941" s="13"/>
    </row>
    <row r="942">
      <c r="C942" s="14"/>
      <c r="H942" s="13"/>
    </row>
    <row r="943">
      <c r="C943" s="14"/>
      <c r="H943" s="13"/>
    </row>
    <row r="944">
      <c r="C944" s="14"/>
      <c r="H944" s="13"/>
    </row>
    <row r="945">
      <c r="C945" s="14"/>
      <c r="H945" s="13"/>
    </row>
    <row r="946">
      <c r="C946" s="14"/>
      <c r="H946" s="13"/>
    </row>
    <row r="947">
      <c r="C947" s="14"/>
      <c r="H947" s="13"/>
    </row>
    <row r="948">
      <c r="C948" s="14"/>
      <c r="H948" s="13"/>
    </row>
    <row r="949">
      <c r="C949" s="14"/>
      <c r="H949" s="13"/>
    </row>
    <row r="950">
      <c r="C950" s="14"/>
      <c r="H950" s="13"/>
    </row>
    <row r="951">
      <c r="C951" s="14"/>
      <c r="H951" s="13"/>
    </row>
    <row r="952">
      <c r="C952" s="14"/>
      <c r="H952" s="13"/>
    </row>
    <row r="953">
      <c r="C953" s="14"/>
      <c r="H953" s="13"/>
    </row>
    <row r="954">
      <c r="C954" s="14"/>
      <c r="H954" s="13"/>
    </row>
    <row r="955">
      <c r="C955" s="14"/>
      <c r="H955" s="13"/>
    </row>
    <row r="956">
      <c r="C956" s="14"/>
      <c r="H956" s="13"/>
    </row>
    <row r="957">
      <c r="C957" s="14"/>
      <c r="H957" s="13"/>
    </row>
    <row r="958">
      <c r="C958" s="14"/>
      <c r="H958" s="13"/>
    </row>
    <row r="959">
      <c r="C959" s="14"/>
      <c r="H959" s="13"/>
    </row>
    <row r="960">
      <c r="C960" s="14"/>
      <c r="H960" s="13"/>
    </row>
    <row r="961">
      <c r="C961" s="14"/>
      <c r="H961" s="13"/>
    </row>
    <row r="962">
      <c r="C962" s="14"/>
      <c r="H962" s="13"/>
    </row>
    <row r="963">
      <c r="C963" s="14"/>
      <c r="H963" s="13"/>
    </row>
    <row r="964">
      <c r="C964" s="14"/>
      <c r="H964" s="13"/>
    </row>
    <row r="965">
      <c r="C965" s="14"/>
      <c r="H965" s="13"/>
    </row>
    <row r="966">
      <c r="C966" s="14"/>
      <c r="H966" s="13"/>
    </row>
    <row r="967">
      <c r="C967" s="14"/>
      <c r="H967" s="13"/>
    </row>
    <row r="968">
      <c r="C968" s="14"/>
      <c r="H968" s="13"/>
    </row>
    <row r="969">
      <c r="C969" s="14"/>
      <c r="H969" s="13"/>
    </row>
    <row r="970">
      <c r="C970" s="14"/>
      <c r="H970" s="13"/>
    </row>
    <row r="971">
      <c r="C971" s="14"/>
      <c r="H971" s="13"/>
    </row>
    <row r="972">
      <c r="C972" s="14"/>
      <c r="H972" s="13"/>
    </row>
    <row r="973">
      <c r="C973" s="14"/>
      <c r="H973" s="13"/>
    </row>
    <row r="974">
      <c r="C974" s="14"/>
      <c r="H974" s="13"/>
    </row>
    <row r="975">
      <c r="C975" s="14"/>
      <c r="H975" s="13"/>
    </row>
    <row r="976">
      <c r="C976" s="14"/>
      <c r="H976" s="13"/>
    </row>
    <row r="977">
      <c r="C977" s="14"/>
      <c r="H977" s="13"/>
    </row>
    <row r="978">
      <c r="C978" s="14"/>
      <c r="H978" s="13"/>
    </row>
    <row r="979">
      <c r="C979" s="14"/>
      <c r="H979" s="13"/>
    </row>
    <row r="980">
      <c r="C980" s="14"/>
      <c r="H980" s="13"/>
    </row>
    <row r="981">
      <c r="C981" s="14"/>
      <c r="H981" s="13"/>
    </row>
    <row r="982">
      <c r="C982" s="14"/>
      <c r="H982" s="13"/>
    </row>
    <row r="983">
      <c r="C983" s="14"/>
      <c r="H983" s="13"/>
    </row>
    <row r="984">
      <c r="C984" s="14"/>
      <c r="H984" s="13"/>
    </row>
    <row r="985">
      <c r="C985" s="14"/>
      <c r="H985" s="13"/>
    </row>
    <row r="986">
      <c r="C986" s="14"/>
      <c r="H986" s="13"/>
    </row>
    <row r="987">
      <c r="C987" s="14"/>
      <c r="H987" s="13"/>
    </row>
    <row r="988">
      <c r="C988" s="14"/>
      <c r="H988" s="13"/>
    </row>
    <row r="989">
      <c r="C989" s="14"/>
      <c r="H989" s="13"/>
    </row>
    <row r="990">
      <c r="C990" s="14"/>
      <c r="H990" s="13"/>
    </row>
    <row r="991">
      <c r="C991" s="14"/>
      <c r="H991" s="13"/>
    </row>
    <row r="992">
      <c r="C992" s="14"/>
      <c r="H992" s="13"/>
    </row>
    <row r="993">
      <c r="C993" s="14"/>
      <c r="H993" s="13"/>
    </row>
    <row r="994">
      <c r="C994" s="14"/>
      <c r="H994" s="13"/>
    </row>
    <row r="995">
      <c r="C995" s="14"/>
      <c r="H995" s="13"/>
    </row>
    <row r="996">
      <c r="C996" s="14"/>
      <c r="H996" s="13"/>
    </row>
    <row r="997">
      <c r="C997" s="14"/>
      <c r="H997" s="13"/>
    </row>
    <row r="998">
      <c r="C998" s="14"/>
      <c r="H998" s="13"/>
    </row>
    <row r="999">
      <c r="C999" s="14"/>
      <c r="H999" s="13"/>
    </row>
    <row r="1000">
      <c r="C1000" s="14"/>
      <c r="H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37</v>
      </c>
      <c r="B1" s="23"/>
      <c r="C1" s="24"/>
    </row>
    <row r="2">
      <c r="A2" s="51"/>
      <c r="B2" s="52"/>
      <c r="C2" s="53"/>
    </row>
    <row r="3">
      <c r="A3" s="29"/>
      <c r="B3" s="30" t="str">
        <f>Combine!B1</f>
        <v>Spotify</v>
      </c>
      <c r="C3" s="31" t="str">
        <f>Combine!C1</f>
        <v>122870 KQ</v>
      </c>
    </row>
    <row r="4">
      <c r="A4" s="32" t="s">
        <v>37</v>
      </c>
      <c r="B4" s="54">
        <f>(Combine!I14-B7)/Combine!I19</f>
        <v>0.02728501616</v>
      </c>
      <c r="C4" s="55">
        <f>(Combine!J14-B7)/Combine!J19</f>
        <v>0.05206622878</v>
      </c>
    </row>
    <row r="5">
      <c r="A5" s="34"/>
      <c r="C5" s="35"/>
    </row>
    <row r="6">
      <c r="A6" s="32" t="s">
        <v>38</v>
      </c>
      <c r="B6" s="56">
        <v>0.0396</v>
      </c>
      <c r="C6" s="35"/>
      <c r="E6" s="45" t="s">
        <v>39</v>
      </c>
    </row>
    <row r="7">
      <c r="A7" s="32" t="s">
        <v>40</v>
      </c>
      <c r="B7" s="25">
        <f>B6/52</f>
        <v>0.0007615384615</v>
      </c>
      <c r="C7" s="35"/>
    </row>
    <row r="8">
      <c r="A8" s="57"/>
      <c r="B8" s="58"/>
      <c r="C8" s="59"/>
    </row>
    <row r="12">
      <c r="A12" s="60" t="s">
        <v>41</v>
      </c>
      <c r="B12" s="61"/>
    </row>
    <row r="13">
      <c r="A13" s="62" t="s">
        <v>10</v>
      </c>
      <c r="B13" s="63" t="s">
        <v>42</v>
      </c>
    </row>
    <row r="14">
      <c r="A14" s="64" t="s">
        <v>11</v>
      </c>
      <c r="B14" s="63" t="s">
        <v>43</v>
      </c>
    </row>
    <row r="15">
      <c r="A15" s="65" t="s">
        <v>44</v>
      </c>
      <c r="B15" s="63" t="s">
        <v>45</v>
      </c>
    </row>
    <row r="16">
      <c r="A16" s="65" t="s">
        <v>46</v>
      </c>
      <c r="B16" s="63" t="s">
        <v>47</v>
      </c>
    </row>
    <row r="17">
      <c r="A17" s="66"/>
      <c r="B17" s="67"/>
    </row>
    <row r="18">
      <c r="A18" s="65" t="s">
        <v>48</v>
      </c>
      <c r="B18" s="68">
        <v>54.0</v>
      </c>
    </row>
    <row r="19">
      <c r="A19" s="65" t="s">
        <v>49</v>
      </c>
      <c r="B19" s="68">
        <v>53.0</v>
      </c>
    </row>
    <row r="20">
      <c r="A20" s="65" t="s">
        <v>50</v>
      </c>
      <c r="B20" s="68">
        <v>53.0</v>
      </c>
    </row>
    <row r="21">
      <c r="A21" s="65" t="s">
        <v>51</v>
      </c>
      <c r="B21" s="68" t="s">
        <v>52</v>
      </c>
    </row>
    <row r="22">
      <c r="A22" s="65" t="s">
        <v>53</v>
      </c>
      <c r="B22" s="69">
        <f>Combine!J18/Combine!I18</f>
        <v>1.305063453</v>
      </c>
    </row>
    <row r="23">
      <c r="A23" s="65" t="s">
        <v>54</v>
      </c>
      <c r="B23" s="70">
        <f>_xlfn.F.DIST.RT(B22,53,53)</f>
        <v>0.1677240961</v>
      </c>
    </row>
    <row r="24">
      <c r="A24" s="71" t="s">
        <v>55</v>
      </c>
      <c r="B24" s="72"/>
    </row>
  </sheetData>
  <mergeCells count="3">
    <mergeCell ref="A1:C2"/>
    <mergeCell ref="A12:B12"/>
    <mergeCell ref="A24:B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 ht="36.0" customHeight="1">
      <c r="A1" s="73" t="s">
        <v>0</v>
      </c>
      <c r="B1" s="45" t="s">
        <v>10</v>
      </c>
      <c r="C1" s="74" t="s">
        <v>56</v>
      </c>
    </row>
    <row r="2">
      <c r="A2" s="4">
        <v>46087.0</v>
      </c>
      <c r="B2" s="75" t="str">
        <f>ifna(VLOOKUP(A2, Combine!A2:F58,4,0),"")</f>
        <v/>
      </c>
      <c r="C2" s="76">
        <f>VLOOKUP(A2,'S&amp;P 500'!A2:D56,3,0)</f>
        <v>-0.01381115579</v>
      </c>
    </row>
    <row r="3">
      <c r="A3" s="4">
        <v>46083.0</v>
      </c>
      <c r="B3" s="25">
        <f>VLOOKUP(A3, Combine!A3:F59,4,0)</f>
        <v>0.07220258671</v>
      </c>
      <c r="C3" s="76">
        <f>VLOOKUP(A3,'S&amp;P 500'!A3:D57,3,0)</f>
        <v>-0.007002593445</v>
      </c>
    </row>
    <row r="4">
      <c r="A4" s="4">
        <v>46076.0</v>
      </c>
      <c r="B4" s="25">
        <f>VLOOKUP(A4, Combine!A4:F60,4,0)</f>
        <v>0.04961271912</v>
      </c>
      <c r="C4" s="76">
        <f>VLOOKUP(A4,'S&amp;P 500'!A4:D58,3,0)</f>
        <v>-0.004433020576</v>
      </c>
    </row>
    <row r="5">
      <c r="A5" s="4">
        <v>46069.0</v>
      </c>
      <c r="B5" s="25">
        <f>VLOOKUP(A5, Combine!A5:F61,4,0)</f>
        <v>0.07038443077</v>
      </c>
      <c r="C5" s="76">
        <f>VLOOKUP(A5,'S&amp;P 500'!A5:D59,3,0)</f>
        <v>0.0107282294</v>
      </c>
      <c r="F5" s="77"/>
      <c r="G5" s="78" t="s">
        <v>57</v>
      </c>
      <c r="I5" s="77"/>
      <c r="J5" s="77"/>
      <c r="K5" s="77"/>
      <c r="L5" s="77"/>
      <c r="M5" s="77"/>
      <c r="N5" s="77"/>
      <c r="O5" s="77"/>
      <c r="P5" s="77"/>
      <c r="Q5" s="77"/>
    </row>
    <row r="6">
      <c r="A6" s="4">
        <v>46062.0</v>
      </c>
      <c r="B6" s="25">
        <f>VLOOKUP(A6, Combine!A6:F62,4,0)</f>
        <v>0.08454603535</v>
      </c>
      <c r="C6" s="76">
        <f>VLOOKUP(A6,'S&amp;P 500'!A6:D60,3,0)</f>
        <v>-0.01386697056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</row>
    <row r="7">
      <c r="A7" s="4">
        <v>46055.0</v>
      </c>
      <c r="B7" s="25">
        <f>VLOOKUP(A7, Combine!A7:F63,4,0)</f>
        <v>-0.1553712401</v>
      </c>
      <c r="C7" s="76">
        <f>VLOOKUP(A7,'S&amp;P 500'!A7:D61,3,0)</f>
        <v>-0.0009698761931</v>
      </c>
      <c r="F7" s="77"/>
      <c r="G7" s="79" t="s">
        <v>58</v>
      </c>
      <c r="H7" s="80"/>
      <c r="I7" s="77"/>
      <c r="J7" s="77"/>
      <c r="K7" s="77"/>
      <c r="L7" s="77"/>
      <c r="M7" s="77"/>
      <c r="N7" s="77"/>
      <c r="O7" s="77"/>
      <c r="P7" s="77"/>
      <c r="Q7" s="77"/>
    </row>
    <row r="8">
      <c r="A8" s="4">
        <v>46048.0</v>
      </c>
      <c r="B8" s="25">
        <f>VLOOKUP(A8, Combine!A8:F64,4,0)</f>
        <v>-0.02505796847</v>
      </c>
      <c r="C8" s="76">
        <f>VLOOKUP(A8,'S&amp;P 500'!A8:D62,3,0)</f>
        <v>0.003386541462</v>
      </c>
      <c r="F8" s="77"/>
      <c r="G8" s="78" t="s">
        <v>59</v>
      </c>
      <c r="H8" s="81">
        <v>0.394892</v>
      </c>
      <c r="I8" s="77"/>
      <c r="J8" s="77"/>
      <c r="K8" s="77"/>
      <c r="L8" s="77"/>
      <c r="M8" s="77"/>
      <c r="N8" s="77"/>
      <c r="O8" s="77"/>
      <c r="P8" s="77"/>
      <c r="Q8" s="77"/>
    </row>
    <row r="9">
      <c r="A9" s="4">
        <v>46041.0</v>
      </c>
      <c r="B9" s="25">
        <f>VLOOKUP(A9, Combine!A9:F65,4,0)</f>
        <v>0.01726461843</v>
      </c>
      <c r="C9" s="76">
        <f>VLOOKUP(A9,'S&amp;P 500'!A9:D63,3,0)</f>
        <v>-0.003515845078</v>
      </c>
      <c r="F9" s="77"/>
      <c r="G9" s="78" t="s">
        <v>60</v>
      </c>
      <c r="H9" s="81">
        <v>0.15594</v>
      </c>
      <c r="I9" s="77"/>
      <c r="J9" s="77"/>
      <c r="K9" s="77"/>
      <c r="L9" s="77"/>
      <c r="M9" s="77"/>
      <c r="N9" s="77"/>
      <c r="O9" s="77"/>
      <c r="P9" s="77"/>
      <c r="Q9" s="77"/>
    </row>
    <row r="10">
      <c r="A10" s="4">
        <v>46034.0</v>
      </c>
      <c r="B10" s="25">
        <f>VLOOKUP(A10, Combine!A10:F66,4,0)</f>
        <v>-0.06464949849</v>
      </c>
      <c r="C10" s="76">
        <f>VLOOKUP(A10,'S&amp;P 500'!A10:D64,3,0)</f>
        <v>-0.003771022698</v>
      </c>
      <c r="F10" s="77"/>
      <c r="G10" s="78" t="s">
        <v>61</v>
      </c>
      <c r="H10" s="81">
        <v>0.139389</v>
      </c>
      <c r="I10" s="77"/>
      <c r="J10" s="77"/>
      <c r="K10" s="77"/>
      <c r="L10" s="77"/>
      <c r="M10" s="77"/>
      <c r="N10" s="77"/>
      <c r="O10" s="77"/>
      <c r="P10" s="77"/>
      <c r="Q10" s="77"/>
    </row>
    <row r="11">
      <c r="A11" s="4">
        <v>46027.0</v>
      </c>
      <c r="B11" s="25">
        <f>VLOOKUP(A11, Combine!A11:F67,4,0)</f>
        <v>-0.06196521739</v>
      </c>
      <c r="C11" s="76">
        <f>VLOOKUP(A11,'S&amp;P 500'!A11:D65,3,0)</f>
        <v>0.01571924934</v>
      </c>
      <c r="F11" s="77"/>
      <c r="G11" s="78" t="s">
        <v>62</v>
      </c>
      <c r="H11" s="81">
        <v>0.05316</v>
      </c>
      <c r="I11" s="77"/>
      <c r="J11" s="77"/>
      <c r="K11" s="77"/>
      <c r="L11" s="77"/>
      <c r="M11" s="77"/>
      <c r="N11" s="77"/>
      <c r="O11" s="77"/>
      <c r="P11" s="77"/>
      <c r="Q11" s="77"/>
    </row>
    <row r="12">
      <c r="A12" s="4">
        <v>46020.0</v>
      </c>
      <c r="B12" s="25">
        <f>VLOOKUP(A12, Combine!A12:F68,4,0)</f>
        <v>-0.01600068452</v>
      </c>
      <c r="C12" s="76">
        <f>VLOOKUP(A12,'S&amp;P 500'!A12:D66,3,0)</f>
        <v>-0.01031322061</v>
      </c>
      <c r="F12" s="77"/>
      <c r="G12" s="82" t="s">
        <v>63</v>
      </c>
      <c r="H12" s="83">
        <v>53.0</v>
      </c>
      <c r="I12" s="77"/>
      <c r="J12" s="77"/>
      <c r="K12" s="77"/>
      <c r="L12" s="77"/>
      <c r="M12" s="77"/>
      <c r="N12" s="77"/>
      <c r="O12" s="77"/>
      <c r="P12" s="77"/>
      <c r="Q12" s="77"/>
    </row>
    <row r="13">
      <c r="A13" s="4">
        <v>46013.0</v>
      </c>
      <c r="B13" s="25">
        <f>VLOOKUP(A13, Combine!A13:F69,4,0)</f>
        <v>0.003761852412</v>
      </c>
      <c r="C13" s="76">
        <f>VLOOKUP(A13,'S&amp;P 500'!A13:D67,3,0)</f>
        <v>0.01396444509</v>
      </c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</row>
    <row r="14">
      <c r="A14" s="4">
        <v>46006.0</v>
      </c>
      <c r="B14" s="25">
        <f>VLOOKUP(A14, Combine!A14:F70,4,0)</f>
        <v>-0.02616259619</v>
      </c>
      <c r="C14" s="76">
        <f>VLOOKUP(A14,'S&amp;P 500'!A14:D68,3,0)</f>
        <v>0.001038461144</v>
      </c>
      <c r="F14" s="77"/>
      <c r="G14" s="78" t="s">
        <v>64</v>
      </c>
      <c r="J14" s="77"/>
      <c r="K14" s="77"/>
      <c r="L14" s="77"/>
      <c r="M14" s="77"/>
      <c r="N14" s="77"/>
      <c r="O14" s="77"/>
      <c r="P14" s="77"/>
      <c r="Q14" s="77"/>
    </row>
    <row r="15">
      <c r="A15" s="4">
        <v>45999.0</v>
      </c>
      <c r="B15" s="25">
        <f>VLOOKUP(A15, Combine!A15:F71,4,0)</f>
        <v>0.05818419981</v>
      </c>
      <c r="C15" s="76">
        <f>VLOOKUP(A15,'S&amp;P 500'!A15:D69,3,0)</f>
        <v>-0.006257277597</v>
      </c>
      <c r="F15" s="77"/>
      <c r="G15" s="84"/>
      <c r="H15" s="79" t="s">
        <v>65</v>
      </c>
      <c r="I15" s="79" t="s">
        <v>66</v>
      </c>
      <c r="J15" s="79" t="s">
        <v>67</v>
      </c>
      <c r="K15" s="79" t="s">
        <v>68</v>
      </c>
      <c r="L15" s="79" t="s">
        <v>69</v>
      </c>
      <c r="M15" s="77"/>
      <c r="N15" s="77"/>
      <c r="O15" s="77"/>
      <c r="P15" s="77"/>
      <c r="Q15" s="77"/>
    </row>
    <row r="16">
      <c r="A16" s="4">
        <v>45992.0</v>
      </c>
      <c r="B16" s="25">
        <f>VLOOKUP(A16, Combine!A16:F72,4,0)</f>
        <v>-0.05667340157</v>
      </c>
      <c r="C16" s="76">
        <f>VLOOKUP(A16,'S&amp;P 500'!A16:D70,3,0)</f>
        <v>0.003111362239</v>
      </c>
      <c r="F16" s="77"/>
      <c r="G16" s="78" t="s">
        <v>70</v>
      </c>
      <c r="H16" s="81">
        <v>1.0</v>
      </c>
      <c r="I16" s="81">
        <v>0.026627</v>
      </c>
      <c r="J16" s="81">
        <v>0.026627</v>
      </c>
      <c r="K16" s="81">
        <v>9.42222</v>
      </c>
      <c r="L16" s="81">
        <v>0.003431</v>
      </c>
      <c r="M16" s="77"/>
      <c r="N16" s="77"/>
      <c r="O16" s="77"/>
      <c r="P16" s="77"/>
      <c r="Q16" s="77"/>
    </row>
    <row r="17">
      <c r="A17" s="4">
        <v>45985.0</v>
      </c>
      <c r="B17" s="25">
        <f>VLOOKUP(A17, Combine!A17:F73,4,0)</f>
        <v>0.02614759857</v>
      </c>
      <c r="C17" s="76">
        <f>VLOOKUP(A17,'S&amp;P 500'!A17:D71,3,0)</f>
        <v>0.0372709939</v>
      </c>
      <c r="F17" s="77"/>
      <c r="G17" s="78" t="s">
        <v>71</v>
      </c>
      <c r="H17" s="81">
        <v>51.0</v>
      </c>
      <c r="I17" s="81">
        <v>0.144123</v>
      </c>
      <c r="J17" s="81">
        <v>0.002826</v>
      </c>
      <c r="K17" s="77"/>
      <c r="L17" s="77"/>
      <c r="M17" s="77"/>
      <c r="N17" s="77"/>
      <c r="O17" s="77"/>
      <c r="P17" s="77"/>
      <c r="Q17" s="77"/>
    </row>
    <row r="18">
      <c r="A18" s="4">
        <v>45978.0</v>
      </c>
      <c r="B18" s="25">
        <f>VLOOKUP(A18, Combine!A18:F74,4,0)</f>
        <v>-0.08201337004</v>
      </c>
      <c r="C18" s="76">
        <f>VLOOKUP(A18,'S&amp;P 500'!A18:D72,3,0)</f>
        <v>-0.01947102141</v>
      </c>
      <c r="F18" s="77"/>
      <c r="G18" s="82" t="s">
        <v>72</v>
      </c>
      <c r="H18" s="83">
        <v>52.0</v>
      </c>
      <c r="I18" s="83">
        <v>0.17075</v>
      </c>
      <c r="J18" s="85"/>
      <c r="K18" s="85"/>
      <c r="L18" s="85"/>
      <c r="M18" s="77"/>
      <c r="N18" s="77"/>
      <c r="O18" s="77"/>
      <c r="P18" s="77"/>
      <c r="Q18" s="77"/>
    </row>
    <row r="19">
      <c r="A19" s="4">
        <v>45971.0</v>
      </c>
      <c r="B19" s="25">
        <f>VLOOKUP(A19, Combine!A19:F75,4,0)</f>
        <v>0.03053930071</v>
      </c>
      <c r="C19" s="76">
        <f>VLOOKUP(A19,'S&amp;P 500'!A19:D73,3,0)</f>
        <v>0.000789145167</v>
      </c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</row>
    <row r="20">
      <c r="A20" s="4">
        <v>45964.0</v>
      </c>
      <c r="B20" s="25">
        <f>VLOOKUP(A20, Combine!A20:F76,4,0)</f>
        <v>-0.05861258622</v>
      </c>
      <c r="C20" s="76">
        <f>VLOOKUP(A20,'S&amp;P 500'!A20:D74,3,0)</f>
        <v>-0.01628607351</v>
      </c>
      <c r="F20" s="77"/>
      <c r="G20" s="84"/>
      <c r="H20" s="79" t="s">
        <v>73</v>
      </c>
      <c r="I20" s="79" t="s">
        <v>62</v>
      </c>
      <c r="J20" s="79" t="s">
        <v>74</v>
      </c>
      <c r="K20" s="79" t="s">
        <v>75</v>
      </c>
      <c r="L20" s="79" t="s">
        <v>76</v>
      </c>
      <c r="M20" s="79" t="s">
        <v>77</v>
      </c>
      <c r="N20" s="79" t="s">
        <v>78</v>
      </c>
      <c r="O20" s="79" t="s">
        <v>79</v>
      </c>
      <c r="P20" s="77"/>
      <c r="Q20" s="77"/>
    </row>
    <row r="21">
      <c r="A21" s="4">
        <v>45957.0</v>
      </c>
      <c r="B21" s="25">
        <f>VLOOKUP(A21, Combine!A21:F77,4,0)</f>
        <v>0.01477283285</v>
      </c>
      <c r="C21" s="76">
        <f>VLOOKUP(A21,'S&amp;P 500'!A21:D75,3,0)</f>
        <v>0.007142552148</v>
      </c>
      <c r="F21" s="77"/>
      <c r="G21" s="78" t="s">
        <v>80</v>
      </c>
      <c r="H21" s="81">
        <v>-8.4E-4</v>
      </c>
      <c r="I21" s="81">
        <v>0.007374</v>
      </c>
      <c r="J21" s="81">
        <v>-0.11375</v>
      </c>
      <c r="K21" s="81">
        <v>0.909881</v>
      </c>
      <c r="L21" s="81">
        <v>-0.01564</v>
      </c>
      <c r="M21" s="81">
        <v>0.013966</v>
      </c>
      <c r="N21" s="81">
        <v>-0.01564</v>
      </c>
      <c r="O21" s="81">
        <v>0.013966</v>
      </c>
      <c r="P21" s="77"/>
      <c r="Q21" s="77"/>
    </row>
    <row r="22">
      <c r="A22" s="4">
        <v>45950.0</v>
      </c>
      <c r="B22" s="25">
        <f>VLOOKUP(A22, Combine!A22:F78,4,0)</f>
        <v>-0.03833095068</v>
      </c>
      <c r="C22" s="76">
        <f>VLOOKUP(A22,'S&amp;P 500'!A22:D76,3,0)</f>
        <v>0.01915963511</v>
      </c>
      <c r="F22" s="77"/>
      <c r="G22" s="82" t="s">
        <v>81</v>
      </c>
      <c r="H22" s="83">
        <v>0.99206</v>
      </c>
      <c r="I22" s="83">
        <v>0.323192</v>
      </c>
      <c r="J22" s="83">
        <v>3.069563</v>
      </c>
      <c r="K22" s="83">
        <v>0.003431</v>
      </c>
      <c r="L22" s="83">
        <v>0.343224</v>
      </c>
      <c r="M22" s="83">
        <v>1.640895</v>
      </c>
      <c r="N22" s="83">
        <v>0.343224</v>
      </c>
      <c r="O22" s="83">
        <v>1.640895</v>
      </c>
      <c r="P22" s="77"/>
      <c r="Q22" s="77"/>
    </row>
    <row r="23">
      <c r="A23" s="4">
        <v>45943.0</v>
      </c>
      <c r="B23" s="25">
        <f>VLOOKUP(A23, Combine!A23:F79,4,0)</f>
        <v>-0.02009368297</v>
      </c>
      <c r="C23" s="76">
        <f>VLOOKUP(A23,'S&amp;P 500'!A23:D77,3,0)</f>
        <v>0.01701637998</v>
      </c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</row>
    <row r="24">
      <c r="A24" s="4">
        <v>45936.0</v>
      </c>
      <c r="B24" s="25">
        <f>VLOOKUP(A24, Combine!A24:F80,4,0)</f>
        <v>0.007038941954</v>
      </c>
      <c r="C24" s="76">
        <f>VLOOKUP(A24,'S&amp;P 500'!A24:D78,3,0)</f>
        <v>-0.02431285076</v>
      </c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</row>
    <row r="25">
      <c r="A25" s="4">
        <v>45929.0</v>
      </c>
      <c r="B25" s="25">
        <f>VLOOKUP(A25, Combine!A25:F81,4,0)</f>
        <v>-0.05028400765</v>
      </c>
      <c r="C25" s="76">
        <f>VLOOKUP(A25,'S&amp;P 500'!A25:D79,3,0)</f>
        <v>0.01085088129</v>
      </c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</row>
    <row r="26">
      <c r="A26" s="4">
        <v>45922.0</v>
      </c>
      <c r="B26" s="25">
        <f>VLOOKUP(A26, Combine!A26:F82,4,0)</f>
        <v>-0.02502313177</v>
      </c>
      <c r="C26" s="76">
        <f>VLOOKUP(A26,'S&amp;P 500'!A26:D80,3,0)</f>
        <v>-0.003100072625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</row>
    <row r="27">
      <c r="A27" s="4">
        <v>45915.0</v>
      </c>
      <c r="B27" s="25">
        <f>VLOOKUP(A27, Combine!A27:F83,4,0)</f>
        <v>0.05531303848</v>
      </c>
      <c r="C27" s="76">
        <f>VLOOKUP(A27,'S&amp;P 500'!A27:D81,3,0)</f>
        <v>0.01216076449</v>
      </c>
    </row>
    <row r="28">
      <c r="A28" s="4">
        <v>45908.0</v>
      </c>
      <c r="B28" s="25">
        <f>VLOOKUP(A28, Combine!A28:F84,4,0)</f>
        <v>-0.01525756869</v>
      </c>
      <c r="C28" s="76">
        <f>VLOOKUP(A28,'S&amp;P 500'!A28:D82,3,0)</f>
        <v>0.01585898326</v>
      </c>
    </row>
    <row r="29">
      <c r="A29" s="4">
        <v>45901.0</v>
      </c>
      <c r="B29" s="25">
        <f>VLOOKUP(A29, Combine!A29:F85,4,0)</f>
        <v>0.03711796797</v>
      </c>
      <c r="C29" s="76">
        <f>VLOOKUP(A29,'S&amp;P 500'!A29:D83,3,0)</f>
        <v>0.003287793371</v>
      </c>
    </row>
    <row r="30">
      <c r="A30" s="4">
        <v>45894.0</v>
      </c>
      <c r="B30" s="25">
        <f>VLOOKUP(A30, Combine!A30:F86,4,0)</f>
        <v>-0.01603197737</v>
      </c>
      <c r="C30" s="76">
        <f>VLOOKUP(A30,'S&amp;P 500'!A30:D84,3,0)</f>
        <v>-0.001028311821</v>
      </c>
    </row>
    <row r="31">
      <c r="A31" s="4">
        <v>45887.0</v>
      </c>
      <c r="B31" s="25">
        <f>VLOOKUP(A31, Combine!A31:F87,4,0)</f>
        <v>-0.05433877813</v>
      </c>
      <c r="C31" s="76">
        <f>VLOOKUP(A31,'S&amp;P 500'!A31:D85,3,0)</f>
        <v>0.002652795436</v>
      </c>
    </row>
    <row r="32">
      <c r="A32" s="4">
        <v>45880.0</v>
      </c>
      <c r="B32" s="25">
        <f>VLOOKUP(A32, Combine!A32:F88,4,0)</f>
        <v>0.03813625352</v>
      </c>
      <c r="C32" s="76">
        <f>VLOOKUP(A32,'S&amp;P 500'!A32:D86,3,0)</f>
        <v>0.009445257417</v>
      </c>
    </row>
    <row r="33">
      <c r="A33" s="4">
        <v>45873.0</v>
      </c>
      <c r="B33" s="25">
        <f>VLOOKUP(A33, Combine!A33:F89,4,0)</f>
        <v>0.1255521008</v>
      </c>
      <c r="C33" s="76">
        <f>VLOOKUP(A33,'S&amp;P 500'!A33:D87,3,0)</f>
        <v>0.02427697294</v>
      </c>
    </row>
    <row r="34">
      <c r="A34" s="4">
        <v>45866.0</v>
      </c>
      <c r="B34" s="25">
        <f>VLOOKUP(A34, Combine!A34:F90,4,0)</f>
        <v>-0.09515221469</v>
      </c>
      <c r="C34" s="76">
        <f>VLOOKUP(A34,'S&amp;P 500'!A34:D88,3,0)</f>
        <v>-0.02357778807</v>
      </c>
    </row>
    <row r="35">
      <c r="A35" s="4">
        <v>45859.0</v>
      </c>
      <c r="B35" s="25">
        <f>VLOOKUP(A35, Combine!A35:F91,4,0)</f>
        <v>-0.003422096969</v>
      </c>
      <c r="C35" s="76">
        <f>VLOOKUP(A35,'S&amp;P 500'!A35:D89,3,0)</f>
        <v>0.0145867974</v>
      </c>
    </row>
    <row r="36">
      <c r="A36" s="4">
        <v>45852.0</v>
      </c>
      <c r="B36" s="25">
        <f>VLOOKUP(A36, Combine!A36:F92,4,0)</f>
        <v>-0.01927659874</v>
      </c>
      <c r="C36" s="76">
        <f>VLOOKUP(A36,'S&amp;P 500'!A36:D90,3,0)</f>
        <v>0.005917169216</v>
      </c>
    </row>
    <row r="37">
      <c r="A37" s="4">
        <v>45845.0</v>
      </c>
      <c r="B37" s="25">
        <f>VLOOKUP(A37, Combine!A37:F93,4,0)</f>
        <v>-0.0219295221</v>
      </c>
      <c r="C37" s="76">
        <f>VLOOKUP(A37,'S&amp;P 500'!A37:D91,3,0)</f>
        <v>-0.003121342177</v>
      </c>
    </row>
    <row r="38">
      <c r="A38" s="4">
        <v>45838.0</v>
      </c>
      <c r="B38" s="25">
        <f>VLOOKUP(A38, Combine!A38:F94,4,0)</f>
        <v>-0.06154543101</v>
      </c>
      <c r="C38" s="76">
        <f>VLOOKUP(A38,'S&amp;P 500'!A38:D92,3,0)</f>
        <v>0.01721671713</v>
      </c>
    </row>
    <row r="39">
      <c r="A39" s="4">
        <v>45831.0</v>
      </c>
      <c r="B39" s="25">
        <f>VLOOKUP(A39, Combine!A39:F95,4,0)</f>
        <v>0.09213762687</v>
      </c>
      <c r="C39" s="76">
        <f>VLOOKUP(A39,'S&amp;P 500'!A39:D93,3,0)</f>
        <v>0.03438932679</v>
      </c>
    </row>
    <row r="40">
      <c r="A40" s="4">
        <v>45824.0</v>
      </c>
      <c r="B40" s="25">
        <f>VLOOKUP(A40, Combine!A40:F96,4,0)</f>
        <v>-0.004825209257</v>
      </c>
      <c r="C40" s="76">
        <f>VLOOKUP(A40,'S&amp;P 500'!A40:D94,3,0)</f>
        <v>-0.001527529835</v>
      </c>
    </row>
    <row r="41">
      <c r="A41" s="4">
        <v>45817.0</v>
      </c>
      <c r="B41" s="25">
        <f>VLOOKUP(A41, Combine!A41:F97,4,0)</f>
        <v>-0.001979614186</v>
      </c>
      <c r="C41" s="76">
        <f>VLOOKUP(A41,'S&amp;P 500'!A41:D95,3,0)</f>
        <v>-0.003898099447</v>
      </c>
    </row>
    <row r="42">
      <c r="A42" s="4">
        <v>45810.0</v>
      </c>
      <c r="B42" s="25">
        <f>VLOOKUP(A42, Combine!A42:F98,4,0)</f>
        <v>0.0708422287</v>
      </c>
      <c r="C42" s="76">
        <f>VLOOKUP(A42,'S&amp;P 500'!A42:D96,3,0)</f>
        <v>0.01499909501</v>
      </c>
    </row>
    <row r="43">
      <c r="A43" s="4">
        <v>45803.0</v>
      </c>
      <c r="B43" s="25">
        <f>VLOOKUP(A43, Combine!A43:F99,4,0)</f>
        <v>0.01731363372</v>
      </c>
      <c r="C43" s="76">
        <f>VLOOKUP(A43,'S&amp;P 500'!A43:D97,3,0)</f>
        <v>0.01876156765</v>
      </c>
    </row>
    <row r="44">
      <c r="A44" s="4">
        <v>45796.0</v>
      </c>
      <c r="B44" s="25">
        <f>VLOOKUP(A44, Combine!A44:F100,4,0)</f>
        <v>-0.003778759714</v>
      </c>
      <c r="C44" s="76">
        <f>VLOOKUP(A44,'S&amp;P 500'!A44:D98,3,0)</f>
        <v>-0.02610776755</v>
      </c>
    </row>
    <row r="45">
      <c r="A45" s="4">
        <v>45789.0</v>
      </c>
      <c r="B45" s="25">
        <f>VLOOKUP(A45, Combine!A45:F101,4,0)</f>
        <v>0.01241804859</v>
      </c>
      <c r="C45" s="76">
        <f>VLOOKUP(A45,'S&amp;P 500'!A45:D99,3,0)</f>
        <v>0.05273405408</v>
      </c>
    </row>
    <row r="46">
      <c r="A46" s="4">
        <v>45782.0</v>
      </c>
      <c r="B46" s="25">
        <f>VLOOKUP(A46, Combine!A46:F102,4,0)</f>
        <v>0.006599378882</v>
      </c>
      <c r="C46" s="76">
        <f>VLOOKUP(A46,'S&amp;P 500'!A46:D100,3,0)</f>
        <v>-0.004705741673</v>
      </c>
    </row>
    <row r="47">
      <c r="A47" s="4">
        <v>45775.0</v>
      </c>
      <c r="B47" s="25">
        <f>VLOOKUP(A47, Combine!A47:F103,4,0)</f>
        <v>0.0375048331</v>
      </c>
      <c r="C47" s="76">
        <f>VLOOKUP(A47,'S&amp;P 500'!A47:D101,3,0)</f>
        <v>0.0292224187</v>
      </c>
    </row>
    <row r="48">
      <c r="A48" s="4">
        <v>45768.0</v>
      </c>
      <c r="B48" s="25">
        <f>VLOOKUP(A48, Combine!A48:F104,4,0)</f>
        <v>0.08092294297</v>
      </c>
      <c r="C48" s="76">
        <f>VLOOKUP(A48,'S&amp;P 500'!A48:D102,3,0)</f>
        <v>0.04590644935</v>
      </c>
    </row>
    <row r="49">
      <c r="A49" s="4">
        <v>45761.0</v>
      </c>
      <c r="B49" s="25">
        <f>VLOOKUP(A49, Combine!A49:F105,4,0)</f>
        <v>0.05626678439</v>
      </c>
      <c r="C49" s="76">
        <f>VLOOKUP(A49,'S&amp;P 500'!A49:D103,3,0)</f>
        <v>-0.01503907998</v>
      </c>
    </row>
    <row r="50">
      <c r="A50" s="4">
        <v>45754.0</v>
      </c>
      <c r="B50" s="25">
        <f>VLOOKUP(A50, Combine!A50:F106,4,0)</f>
        <v>0.08019074111</v>
      </c>
      <c r="C50" s="76">
        <f>VLOOKUP(A50,'S&amp;P 500'!A50:D104,3,0)</f>
        <v>0.05701132028</v>
      </c>
    </row>
    <row r="51">
      <c r="A51" s="4">
        <v>45747.0</v>
      </c>
      <c r="B51" s="25">
        <f>VLOOKUP(A51, Combine!A51:F107,4,0)</f>
        <v>-0.103107848</v>
      </c>
      <c r="C51" s="76">
        <f>VLOOKUP(A51,'S&amp;P 500'!A51:D105,3,0)</f>
        <v>-0.09081982605</v>
      </c>
    </row>
    <row r="52">
      <c r="A52" s="4">
        <v>45740.0</v>
      </c>
      <c r="B52" s="25">
        <f>VLOOKUP(A52, Combine!A52:F108,4,0)</f>
        <v>-0.06463979731</v>
      </c>
      <c r="C52" s="76">
        <f>VLOOKUP(A52,'S&amp;P 500'!A52:D106,3,0)</f>
        <v>-0.01528347296</v>
      </c>
    </row>
    <row r="53">
      <c r="A53" s="4">
        <v>45733.0</v>
      </c>
      <c r="B53" s="25">
        <f>VLOOKUP(A53, Combine!A53:F109,4,0)</f>
        <v>0.04375511056</v>
      </c>
      <c r="C53" s="76">
        <f>VLOOKUP(A53,'S&amp;P 500'!A53:D107,3,0)</f>
        <v>0.005075421976</v>
      </c>
    </row>
    <row r="54">
      <c r="A54" s="4">
        <v>45726.0</v>
      </c>
      <c r="B54" s="25">
        <f>VLOOKUP(A54, Combine!A54:F110,4,0)</f>
        <v>0.08022928021</v>
      </c>
      <c r="C54" s="76">
        <f>VLOOKUP(A54,'S&amp;P 500'!A54:D108,3,0)</f>
        <v>-0.02274791168</v>
      </c>
    </row>
    <row r="55">
      <c r="A55" s="4">
        <v>45719.0</v>
      </c>
      <c r="B55" s="25" t="str">
        <f>VLOOKUP(A55, Combine!A55:F111,4,0)</f>
        <v/>
      </c>
      <c r="C55" s="74" t="str">
        <f>VLOOKUP(A55,'S&amp;P 500'!A55:D109,3,0)</f>
        <v/>
      </c>
    </row>
    <row r="56">
      <c r="A56" s="13"/>
      <c r="C56" s="86"/>
    </row>
    <row r="57">
      <c r="A57" s="13"/>
      <c r="C57" s="86"/>
    </row>
    <row r="58">
      <c r="A58" s="13"/>
      <c r="C58" s="86"/>
    </row>
    <row r="59">
      <c r="A59" s="13"/>
      <c r="C59" s="86"/>
    </row>
    <row r="60">
      <c r="A60" s="13"/>
      <c r="C60" s="86"/>
    </row>
    <row r="61">
      <c r="A61" s="13"/>
      <c r="C61" s="86"/>
    </row>
    <row r="62">
      <c r="A62" s="13"/>
      <c r="C62" s="86"/>
    </row>
    <row r="63">
      <c r="A63" s="13"/>
      <c r="C63" s="86"/>
    </row>
    <row r="64">
      <c r="A64" s="13"/>
      <c r="C64" s="86"/>
    </row>
    <row r="65">
      <c r="A65" s="13"/>
      <c r="C65" s="86"/>
    </row>
    <row r="66">
      <c r="A66" s="13"/>
      <c r="C66" s="86"/>
    </row>
    <row r="67">
      <c r="A67" s="13"/>
      <c r="C67" s="86"/>
    </row>
    <row r="68">
      <c r="A68" s="13"/>
      <c r="C68" s="86"/>
    </row>
    <row r="69">
      <c r="A69" s="13"/>
      <c r="C69" s="86"/>
    </row>
    <row r="70">
      <c r="A70" s="13"/>
      <c r="C70" s="86"/>
    </row>
    <row r="71">
      <c r="A71" s="13"/>
      <c r="C71" s="86"/>
    </row>
    <row r="72">
      <c r="A72" s="13"/>
      <c r="C72" s="86"/>
    </row>
    <row r="73">
      <c r="A73" s="13"/>
      <c r="C73" s="86"/>
    </row>
    <row r="74">
      <c r="A74" s="13"/>
      <c r="C74" s="86"/>
    </row>
    <row r="75">
      <c r="A75" s="13"/>
      <c r="C75" s="86"/>
    </row>
    <row r="76">
      <c r="A76" s="13"/>
      <c r="C76" s="86"/>
    </row>
    <row r="77">
      <c r="A77" s="13"/>
      <c r="C77" s="86"/>
    </row>
    <row r="78">
      <c r="A78" s="13"/>
      <c r="C78" s="86"/>
    </row>
    <row r="79">
      <c r="A79" s="13"/>
      <c r="C79" s="86"/>
    </row>
    <row r="80">
      <c r="A80" s="13"/>
      <c r="C80" s="86"/>
    </row>
    <row r="81">
      <c r="A81" s="13"/>
      <c r="C81" s="86"/>
    </row>
    <row r="82">
      <c r="A82" s="13"/>
      <c r="C82" s="86"/>
    </row>
    <row r="83">
      <c r="A83" s="13"/>
      <c r="C83" s="86"/>
    </row>
    <row r="84">
      <c r="A84" s="13"/>
      <c r="C84" s="86"/>
    </row>
    <row r="85">
      <c r="A85" s="13"/>
      <c r="C85" s="86"/>
    </row>
    <row r="86">
      <c r="A86" s="13"/>
      <c r="C86" s="86"/>
    </row>
    <row r="87">
      <c r="A87" s="13"/>
      <c r="C87" s="86"/>
    </row>
    <row r="88">
      <c r="A88" s="13"/>
      <c r="C88" s="86"/>
    </row>
    <row r="89">
      <c r="A89" s="13"/>
      <c r="C89" s="86"/>
    </row>
    <row r="90">
      <c r="A90" s="13"/>
      <c r="C90" s="86"/>
    </row>
    <row r="91">
      <c r="A91" s="13"/>
      <c r="C91" s="86"/>
    </row>
    <row r="92">
      <c r="A92" s="13"/>
      <c r="C92" s="86"/>
    </row>
    <row r="93">
      <c r="A93" s="13"/>
      <c r="C93" s="86"/>
    </row>
    <row r="94">
      <c r="A94" s="13"/>
      <c r="C94" s="86"/>
    </row>
    <row r="95">
      <c r="A95" s="13"/>
      <c r="C95" s="86"/>
    </row>
    <row r="96">
      <c r="A96" s="13"/>
      <c r="C96" s="86"/>
    </row>
    <row r="97">
      <c r="A97" s="13"/>
      <c r="C97" s="86"/>
    </row>
    <row r="98">
      <c r="A98" s="13"/>
      <c r="C98" s="86"/>
    </row>
    <row r="99">
      <c r="A99" s="13"/>
      <c r="C99" s="86"/>
    </row>
    <row r="100">
      <c r="A100" s="13"/>
      <c r="C100" s="86"/>
    </row>
    <row r="101">
      <c r="A101" s="13"/>
      <c r="C101" s="86"/>
    </row>
    <row r="102">
      <c r="A102" s="13"/>
      <c r="C102" s="86"/>
    </row>
    <row r="103">
      <c r="A103" s="13"/>
      <c r="C103" s="86"/>
    </row>
    <row r="104">
      <c r="A104" s="13"/>
      <c r="C104" s="86"/>
    </row>
    <row r="105">
      <c r="A105" s="13"/>
      <c r="C105" s="86"/>
    </row>
    <row r="106">
      <c r="A106" s="13"/>
      <c r="C106" s="86"/>
    </row>
    <row r="107">
      <c r="A107" s="13"/>
      <c r="C107" s="86"/>
    </row>
    <row r="108">
      <c r="A108" s="13"/>
      <c r="C108" s="86"/>
    </row>
    <row r="109">
      <c r="A109" s="13"/>
      <c r="C109" s="86"/>
    </row>
    <row r="110">
      <c r="A110" s="13"/>
      <c r="C110" s="86"/>
    </row>
    <row r="111">
      <c r="A111" s="13"/>
      <c r="C111" s="86"/>
    </row>
    <row r="112">
      <c r="A112" s="13"/>
      <c r="C112" s="86"/>
    </row>
    <row r="113">
      <c r="A113" s="13"/>
      <c r="C113" s="86"/>
    </row>
    <row r="114">
      <c r="A114" s="13"/>
      <c r="C114" s="86"/>
    </row>
    <row r="115">
      <c r="A115" s="13"/>
      <c r="C115" s="86"/>
    </row>
    <row r="116">
      <c r="A116" s="13"/>
      <c r="C116" s="86"/>
    </row>
    <row r="117">
      <c r="A117" s="13"/>
      <c r="C117" s="86"/>
    </row>
    <row r="118">
      <c r="A118" s="13"/>
      <c r="C118" s="86"/>
    </row>
    <row r="119">
      <c r="A119" s="13"/>
      <c r="C119" s="86"/>
    </row>
    <row r="120">
      <c r="A120" s="13"/>
      <c r="C120" s="86"/>
    </row>
    <row r="121">
      <c r="A121" s="13"/>
      <c r="C121" s="86"/>
    </row>
    <row r="122">
      <c r="A122" s="13"/>
      <c r="C122" s="86"/>
    </row>
    <row r="123">
      <c r="A123" s="13"/>
      <c r="C123" s="86"/>
    </row>
    <row r="124">
      <c r="A124" s="13"/>
      <c r="C124" s="86"/>
    </row>
    <row r="125">
      <c r="A125" s="13"/>
      <c r="C125" s="86"/>
    </row>
    <row r="126">
      <c r="A126" s="13"/>
      <c r="C126" s="86"/>
    </row>
    <row r="127">
      <c r="A127" s="13"/>
      <c r="C127" s="86"/>
    </row>
    <row r="128">
      <c r="A128" s="13"/>
      <c r="C128" s="86"/>
    </row>
    <row r="129">
      <c r="A129" s="13"/>
      <c r="C129" s="86"/>
    </row>
    <row r="130">
      <c r="A130" s="13"/>
      <c r="C130" s="86"/>
    </row>
    <row r="131">
      <c r="A131" s="13"/>
      <c r="C131" s="86"/>
    </row>
    <row r="132">
      <c r="A132" s="13"/>
      <c r="C132" s="86"/>
    </row>
    <row r="133">
      <c r="A133" s="13"/>
      <c r="C133" s="86"/>
    </row>
    <row r="134">
      <c r="A134" s="13"/>
      <c r="C134" s="86"/>
    </row>
    <row r="135">
      <c r="A135" s="13"/>
      <c r="C135" s="86"/>
    </row>
    <row r="136">
      <c r="A136" s="13"/>
      <c r="C136" s="86"/>
    </row>
    <row r="137">
      <c r="A137" s="13"/>
      <c r="C137" s="86"/>
    </row>
    <row r="138">
      <c r="A138" s="13"/>
      <c r="C138" s="86"/>
    </row>
    <row r="139">
      <c r="A139" s="13"/>
      <c r="C139" s="86"/>
    </row>
    <row r="140">
      <c r="A140" s="13"/>
      <c r="C140" s="86"/>
    </row>
    <row r="141">
      <c r="A141" s="13"/>
      <c r="C141" s="86"/>
    </row>
    <row r="142">
      <c r="A142" s="13"/>
      <c r="C142" s="86"/>
    </row>
    <row r="143">
      <c r="A143" s="13"/>
      <c r="C143" s="86"/>
    </row>
    <row r="144">
      <c r="A144" s="13"/>
      <c r="C144" s="86"/>
    </row>
    <row r="145">
      <c r="A145" s="13"/>
      <c r="C145" s="86"/>
    </row>
    <row r="146">
      <c r="A146" s="13"/>
      <c r="C146" s="86"/>
    </row>
    <row r="147">
      <c r="A147" s="13"/>
      <c r="C147" s="86"/>
    </row>
    <row r="148">
      <c r="A148" s="13"/>
      <c r="C148" s="86"/>
    </row>
    <row r="149">
      <c r="A149" s="13"/>
      <c r="C149" s="86"/>
    </row>
    <row r="150">
      <c r="A150" s="13"/>
      <c r="C150" s="86"/>
    </row>
    <row r="151">
      <c r="A151" s="13"/>
      <c r="C151" s="86"/>
    </row>
    <row r="152">
      <c r="A152" s="13"/>
      <c r="C152" s="86"/>
    </row>
    <row r="153">
      <c r="A153" s="13"/>
      <c r="C153" s="86"/>
    </row>
    <row r="154">
      <c r="A154" s="13"/>
      <c r="C154" s="86"/>
    </row>
    <row r="155">
      <c r="A155" s="13"/>
      <c r="C155" s="86"/>
    </row>
    <row r="156">
      <c r="A156" s="13"/>
      <c r="C156" s="86"/>
    </row>
    <row r="157">
      <c r="A157" s="13"/>
      <c r="C157" s="86"/>
    </row>
    <row r="158">
      <c r="A158" s="13"/>
      <c r="C158" s="86"/>
    </row>
    <row r="159">
      <c r="A159" s="13"/>
      <c r="C159" s="86"/>
    </row>
    <row r="160">
      <c r="A160" s="13"/>
      <c r="C160" s="86"/>
    </row>
    <row r="161">
      <c r="A161" s="13"/>
      <c r="C161" s="86"/>
    </row>
    <row r="162">
      <c r="A162" s="13"/>
      <c r="C162" s="86"/>
    </row>
    <row r="163">
      <c r="A163" s="13"/>
      <c r="C163" s="86"/>
    </row>
    <row r="164">
      <c r="A164" s="13"/>
      <c r="C164" s="86"/>
    </row>
    <row r="165">
      <c r="A165" s="13"/>
      <c r="C165" s="86"/>
    </row>
    <row r="166">
      <c r="A166" s="13"/>
      <c r="C166" s="86"/>
    </row>
    <row r="167">
      <c r="A167" s="13"/>
      <c r="C167" s="86"/>
    </row>
    <row r="168">
      <c r="A168" s="13"/>
      <c r="C168" s="86"/>
    </row>
    <row r="169">
      <c r="A169" s="13"/>
      <c r="C169" s="86"/>
    </row>
    <row r="170">
      <c r="A170" s="13"/>
      <c r="C170" s="86"/>
    </row>
    <row r="171">
      <c r="A171" s="13"/>
      <c r="C171" s="86"/>
    </row>
    <row r="172">
      <c r="A172" s="13"/>
      <c r="C172" s="86"/>
    </row>
    <row r="173">
      <c r="A173" s="13"/>
      <c r="C173" s="86"/>
    </row>
    <row r="174">
      <c r="A174" s="13"/>
      <c r="C174" s="86"/>
    </row>
    <row r="175">
      <c r="A175" s="13"/>
      <c r="C175" s="86"/>
    </row>
    <row r="176">
      <c r="A176" s="13"/>
      <c r="C176" s="86"/>
    </row>
    <row r="177">
      <c r="A177" s="13"/>
      <c r="C177" s="86"/>
    </row>
    <row r="178">
      <c r="A178" s="13"/>
      <c r="C178" s="86"/>
    </row>
    <row r="179">
      <c r="A179" s="13"/>
      <c r="C179" s="86"/>
    </row>
    <row r="180">
      <c r="A180" s="13"/>
      <c r="C180" s="86"/>
    </row>
    <row r="181">
      <c r="A181" s="13"/>
      <c r="C181" s="86"/>
    </row>
    <row r="182">
      <c r="A182" s="13"/>
      <c r="C182" s="86"/>
    </row>
    <row r="183">
      <c r="A183" s="13"/>
      <c r="C183" s="86"/>
    </row>
    <row r="184">
      <c r="A184" s="13"/>
      <c r="C184" s="86"/>
    </row>
    <row r="185">
      <c r="A185" s="13"/>
      <c r="C185" s="86"/>
    </row>
    <row r="186">
      <c r="A186" s="13"/>
      <c r="C186" s="86"/>
    </row>
    <row r="187">
      <c r="A187" s="13"/>
      <c r="C187" s="86"/>
    </row>
    <row r="188">
      <c r="A188" s="13"/>
      <c r="C188" s="86"/>
    </row>
    <row r="189">
      <c r="A189" s="13"/>
      <c r="C189" s="86"/>
    </row>
    <row r="190">
      <c r="A190" s="13"/>
      <c r="C190" s="86"/>
    </row>
    <row r="191">
      <c r="A191" s="13"/>
      <c r="C191" s="86"/>
    </row>
    <row r="192">
      <c r="A192" s="13"/>
      <c r="C192" s="86"/>
    </row>
    <row r="193">
      <c r="A193" s="13"/>
      <c r="C193" s="86"/>
    </row>
    <row r="194">
      <c r="A194" s="13"/>
      <c r="C194" s="86"/>
    </row>
    <row r="195">
      <c r="A195" s="13"/>
      <c r="C195" s="86"/>
    </row>
    <row r="196">
      <c r="A196" s="13"/>
      <c r="C196" s="86"/>
    </row>
    <row r="197">
      <c r="A197" s="13"/>
      <c r="C197" s="86"/>
    </row>
    <row r="198">
      <c r="A198" s="13"/>
      <c r="C198" s="86"/>
    </row>
    <row r="199">
      <c r="A199" s="13"/>
      <c r="C199" s="86"/>
    </row>
    <row r="200">
      <c r="A200" s="13"/>
      <c r="C200" s="86"/>
    </row>
    <row r="201">
      <c r="A201" s="13"/>
      <c r="C201" s="86"/>
    </row>
    <row r="202">
      <c r="A202" s="13"/>
      <c r="C202" s="86"/>
    </row>
    <row r="203">
      <c r="A203" s="13"/>
      <c r="C203" s="86"/>
    </row>
    <row r="204">
      <c r="A204" s="13"/>
      <c r="C204" s="86"/>
    </row>
    <row r="205">
      <c r="A205" s="13"/>
      <c r="C205" s="86"/>
    </row>
    <row r="206">
      <c r="A206" s="13"/>
      <c r="C206" s="86"/>
    </row>
    <row r="207">
      <c r="A207" s="13"/>
      <c r="C207" s="86"/>
    </row>
    <row r="208">
      <c r="A208" s="13"/>
      <c r="C208" s="86"/>
    </row>
    <row r="209">
      <c r="A209" s="13"/>
      <c r="C209" s="86"/>
    </row>
    <row r="210">
      <c r="A210" s="13"/>
      <c r="C210" s="86"/>
    </row>
    <row r="211">
      <c r="A211" s="13"/>
      <c r="C211" s="86"/>
    </row>
    <row r="212">
      <c r="A212" s="13"/>
      <c r="C212" s="86"/>
    </row>
    <row r="213">
      <c r="A213" s="13"/>
      <c r="C213" s="86"/>
    </row>
    <row r="214">
      <c r="A214" s="13"/>
      <c r="C214" s="86"/>
    </row>
    <row r="215">
      <c r="A215" s="13"/>
      <c r="C215" s="86"/>
    </row>
    <row r="216">
      <c r="A216" s="13"/>
      <c r="C216" s="86"/>
    </row>
    <row r="217">
      <c r="A217" s="13"/>
      <c r="C217" s="86"/>
    </row>
    <row r="218">
      <c r="A218" s="13"/>
      <c r="C218" s="86"/>
    </row>
    <row r="219">
      <c r="A219" s="13"/>
      <c r="C219" s="86"/>
    </row>
    <row r="220">
      <c r="A220" s="13"/>
      <c r="C220" s="86"/>
    </row>
    <row r="221">
      <c r="A221" s="13"/>
      <c r="C221" s="86"/>
    </row>
    <row r="222">
      <c r="A222" s="13"/>
      <c r="C222" s="86"/>
    </row>
    <row r="223">
      <c r="A223" s="13"/>
      <c r="C223" s="86"/>
    </row>
    <row r="224">
      <c r="A224" s="13"/>
      <c r="C224" s="86"/>
    </row>
    <row r="225">
      <c r="A225" s="13"/>
      <c r="C225" s="86"/>
    </row>
    <row r="226">
      <c r="A226" s="13"/>
      <c r="C226" s="86"/>
    </row>
    <row r="227">
      <c r="A227" s="13"/>
      <c r="C227" s="86"/>
    </row>
    <row r="228">
      <c r="A228" s="13"/>
      <c r="C228" s="86"/>
    </row>
    <row r="229">
      <c r="A229" s="13"/>
      <c r="C229" s="86"/>
    </row>
    <row r="230">
      <c r="A230" s="13"/>
      <c r="C230" s="86"/>
    </row>
    <row r="231">
      <c r="A231" s="13"/>
      <c r="C231" s="86"/>
    </row>
    <row r="232">
      <c r="A232" s="13"/>
      <c r="C232" s="86"/>
    </row>
    <row r="233">
      <c r="A233" s="13"/>
      <c r="C233" s="86"/>
    </row>
    <row r="234">
      <c r="A234" s="13"/>
      <c r="C234" s="86"/>
    </row>
    <row r="235">
      <c r="A235" s="13"/>
      <c r="C235" s="86"/>
    </row>
    <row r="236">
      <c r="A236" s="13"/>
      <c r="C236" s="86"/>
    </row>
    <row r="237">
      <c r="A237" s="13"/>
      <c r="C237" s="86"/>
    </row>
    <row r="238">
      <c r="A238" s="13"/>
      <c r="C238" s="86"/>
    </row>
    <row r="239">
      <c r="A239" s="13"/>
      <c r="C239" s="86"/>
    </row>
    <row r="240">
      <c r="A240" s="13"/>
      <c r="C240" s="86"/>
    </row>
    <row r="241">
      <c r="A241" s="13"/>
      <c r="C241" s="86"/>
    </row>
    <row r="242">
      <c r="A242" s="13"/>
      <c r="C242" s="86"/>
    </row>
    <row r="243">
      <c r="A243" s="13"/>
      <c r="C243" s="86"/>
    </row>
    <row r="244">
      <c r="A244" s="13"/>
      <c r="C244" s="86"/>
    </row>
    <row r="245">
      <c r="A245" s="13"/>
      <c r="C245" s="86"/>
    </row>
    <row r="246">
      <c r="A246" s="13"/>
      <c r="C246" s="86"/>
    </row>
    <row r="247">
      <c r="A247" s="13"/>
      <c r="C247" s="86"/>
    </row>
    <row r="248">
      <c r="A248" s="13"/>
      <c r="C248" s="86"/>
    </row>
    <row r="249">
      <c r="A249" s="13"/>
      <c r="C249" s="86"/>
    </row>
    <row r="250">
      <c r="A250" s="13"/>
      <c r="C250" s="86"/>
    </row>
    <row r="251">
      <c r="A251" s="13"/>
      <c r="C251" s="86"/>
    </row>
    <row r="252">
      <c r="A252" s="13"/>
      <c r="C252" s="86"/>
    </row>
    <row r="253">
      <c r="A253" s="13"/>
      <c r="C253" s="86"/>
    </row>
    <row r="254">
      <c r="A254" s="13"/>
      <c r="C254" s="86"/>
    </row>
    <row r="255">
      <c r="A255" s="13"/>
      <c r="C255" s="86"/>
    </row>
    <row r="256">
      <c r="A256" s="13"/>
      <c r="C256" s="86"/>
    </row>
    <row r="257">
      <c r="A257" s="13"/>
      <c r="C257" s="86"/>
    </row>
    <row r="258">
      <c r="A258" s="13"/>
      <c r="C258" s="86"/>
    </row>
    <row r="259">
      <c r="A259" s="13"/>
      <c r="C259" s="86"/>
    </row>
    <row r="260">
      <c r="A260" s="13"/>
      <c r="C260" s="86"/>
    </row>
    <row r="261">
      <c r="A261" s="13"/>
      <c r="C261" s="86"/>
    </row>
    <row r="262">
      <c r="A262" s="13"/>
      <c r="C262" s="86"/>
    </row>
    <row r="263">
      <c r="A263" s="13"/>
      <c r="C263" s="86"/>
    </row>
    <row r="264">
      <c r="A264" s="13"/>
      <c r="C264" s="86"/>
    </row>
    <row r="265">
      <c r="A265" s="13"/>
      <c r="C265" s="86"/>
    </row>
    <row r="266">
      <c r="A266" s="13"/>
      <c r="C266" s="86"/>
    </row>
    <row r="267">
      <c r="A267" s="13"/>
      <c r="C267" s="86"/>
    </row>
    <row r="268">
      <c r="A268" s="13"/>
      <c r="C268" s="86"/>
    </row>
    <row r="269">
      <c r="A269" s="13"/>
      <c r="C269" s="86"/>
    </row>
    <row r="270">
      <c r="A270" s="13"/>
      <c r="C270" s="86"/>
    </row>
    <row r="271">
      <c r="A271" s="13"/>
      <c r="C271" s="86"/>
    </row>
    <row r="272">
      <c r="A272" s="13"/>
      <c r="C272" s="86"/>
    </row>
    <row r="273">
      <c r="A273" s="13"/>
      <c r="C273" s="86"/>
    </row>
    <row r="274">
      <c r="A274" s="13"/>
      <c r="C274" s="86"/>
    </row>
    <row r="275">
      <c r="A275" s="13"/>
      <c r="C275" s="86"/>
    </row>
    <row r="276">
      <c r="A276" s="13"/>
      <c r="C276" s="86"/>
    </row>
    <row r="277">
      <c r="A277" s="13"/>
      <c r="C277" s="86"/>
    </row>
    <row r="278">
      <c r="A278" s="13"/>
      <c r="C278" s="86"/>
    </row>
    <row r="279">
      <c r="A279" s="13"/>
      <c r="C279" s="86"/>
    </row>
    <row r="280">
      <c r="A280" s="13"/>
      <c r="C280" s="86"/>
    </row>
    <row r="281">
      <c r="A281" s="13"/>
      <c r="C281" s="86"/>
    </row>
    <row r="282">
      <c r="A282" s="13"/>
      <c r="C282" s="86"/>
    </row>
    <row r="283">
      <c r="A283" s="13"/>
      <c r="C283" s="86"/>
    </row>
    <row r="284">
      <c r="A284" s="13"/>
      <c r="C284" s="86"/>
    </row>
    <row r="285">
      <c r="A285" s="13"/>
      <c r="C285" s="86"/>
    </row>
    <row r="286">
      <c r="A286" s="13"/>
      <c r="C286" s="86"/>
    </row>
    <row r="287">
      <c r="A287" s="13"/>
      <c r="C287" s="86"/>
    </row>
    <row r="288">
      <c r="A288" s="13"/>
      <c r="C288" s="86"/>
    </row>
    <row r="289">
      <c r="A289" s="13"/>
      <c r="C289" s="86"/>
    </row>
    <row r="290">
      <c r="A290" s="13"/>
      <c r="C290" s="86"/>
    </row>
    <row r="291">
      <c r="A291" s="13"/>
      <c r="C291" s="86"/>
    </row>
    <row r="292">
      <c r="A292" s="13"/>
      <c r="C292" s="86"/>
    </row>
    <row r="293">
      <c r="A293" s="13"/>
      <c r="C293" s="86"/>
    </row>
    <row r="294">
      <c r="A294" s="13"/>
      <c r="C294" s="86"/>
    </row>
    <row r="295">
      <c r="A295" s="13"/>
      <c r="C295" s="86"/>
    </row>
    <row r="296">
      <c r="A296" s="13"/>
      <c r="C296" s="86"/>
    </row>
    <row r="297">
      <c r="A297" s="13"/>
      <c r="C297" s="86"/>
    </row>
    <row r="298">
      <c r="A298" s="13"/>
      <c r="C298" s="86"/>
    </row>
    <row r="299">
      <c r="A299" s="13"/>
      <c r="C299" s="86"/>
    </row>
    <row r="300">
      <c r="A300" s="13"/>
      <c r="C300" s="86"/>
    </row>
    <row r="301">
      <c r="A301" s="13"/>
      <c r="C301" s="86"/>
    </row>
    <row r="302">
      <c r="A302" s="13"/>
      <c r="C302" s="86"/>
    </row>
    <row r="303">
      <c r="A303" s="13"/>
      <c r="C303" s="86"/>
    </row>
    <row r="304">
      <c r="A304" s="13"/>
      <c r="C304" s="86"/>
    </row>
    <row r="305">
      <c r="A305" s="13"/>
      <c r="C305" s="86"/>
    </row>
    <row r="306">
      <c r="A306" s="13"/>
      <c r="C306" s="86"/>
    </row>
    <row r="307">
      <c r="A307" s="13"/>
      <c r="C307" s="86"/>
    </row>
    <row r="308">
      <c r="A308" s="13"/>
      <c r="C308" s="86"/>
    </row>
    <row r="309">
      <c r="A309" s="13"/>
      <c r="C309" s="86"/>
    </row>
    <row r="310">
      <c r="A310" s="13"/>
      <c r="C310" s="86"/>
    </row>
    <row r="311">
      <c r="A311" s="13"/>
      <c r="C311" s="86"/>
    </row>
    <row r="312">
      <c r="A312" s="13"/>
      <c r="C312" s="86"/>
    </row>
    <row r="313">
      <c r="A313" s="13"/>
      <c r="C313" s="86"/>
    </row>
    <row r="314">
      <c r="A314" s="13"/>
      <c r="C314" s="86"/>
    </row>
    <row r="315">
      <c r="A315" s="13"/>
      <c r="C315" s="86"/>
    </row>
    <row r="316">
      <c r="A316" s="13"/>
      <c r="C316" s="86"/>
    </row>
    <row r="317">
      <c r="A317" s="13"/>
      <c r="C317" s="86"/>
    </row>
    <row r="318">
      <c r="A318" s="13"/>
      <c r="C318" s="86"/>
    </row>
    <row r="319">
      <c r="A319" s="13"/>
      <c r="C319" s="86"/>
    </row>
    <row r="320">
      <c r="A320" s="13"/>
      <c r="C320" s="86"/>
    </row>
    <row r="321">
      <c r="A321" s="13"/>
      <c r="C321" s="86"/>
    </row>
    <row r="322">
      <c r="A322" s="13"/>
      <c r="C322" s="86"/>
    </row>
    <row r="323">
      <c r="A323" s="13"/>
      <c r="C323" s="86"/>
    </row>
    <row r="324">
      <c r="A324" s="13"/>
      <c r="C324" s="86"/>
    </row>
    <row r="325">
      <c r="A325" s="13"/>
      <c r="C325" s="86"/>
    </row>
    <row r="326">
      <c r="A326" s="13"/>
      <c r="C326" s="86"/>
    </row>
    <row r="327">
      <c r="A327" s="13"/>
      <c r="C327" s="86"/>
    </row>
    <row r="328">
      <c r="A328" s="13"/>
      <c r="C328" s="86"/>
    </row>
    <row r="329">
      <c r="A329" s="13"/>
      <c r="C329" s="86"/>
    </row>
    <row r="330">
      <c r="A330" s="13"/>
      <c r="C330" s="86"/>
    </row>
    <row r="331">
      <c r="A331" s="13"/>
      <c r="C331" s="86"/>
    </row>
    <row r="332">
      <c r="A332" s="13"/>
      <c r="C332" s="86"/>
    </row>
    <row r="333">
      <c r="A333" s="13"/>
      <c r="C333" s="86"/>
    </row>
    <row r="334">
      <c r="A334" s="13"/>
      <c r="C334" s="86"/>
    </row>
    <row r="335">
      <c r="A335" s="13"/>
      <c r="C335" s="86"/>
    </row>
    <row r="336">
      <c r="A336" s="13"/>
      <c r="C336" s="86"/>
    </row>
    <row r="337">
      <c r="A337" s="13"/>
      <c r="C337" s="86"/>
    </row>
    <row r="338">
      <c r="A338" s="13"/>
      <c r="C338" s="86"/>
    </row>
    <row r="339">
      <c r="A339" s="13"/>
      <c r="C339" s="86"/>
    </row>
    <row r="340">
      <c r="A340" s="13"/>
      <c r="C340" s="86"/>
    </row>
    <row r="341">
      <c r="A341" s="13"/>
      <c r="C341" s="86"/>
    </row>
    <row r="342">
      <c r="A342" s="13"/>
      <c r="C342" s="86"/>
    </row>
    <row r="343">
      <c r="A343" s="13"/>
      <c r="C343" s="86"/>
    </row>
    <row r="344">
      <c r="A344" s="13"/>
      <c r="C344" s="86"/>
    </row>
    <row r="345">
      <c r="A345" s="13"/>
      <c r="C345" s="86"/>
    </row>
    <row r="346">
      <c r="A346" s="13"/>
      <c r="C346" s="86"/>
    </row>
    <row r="347">
      <c r="A347" s="13"/>
      <c r="C347" s="86"/>
    </row>
    <row r="348">
      <c r="A348" s="13"/>
      <c r="C348" s="86"/>
    </row>
    <row r="349">
      <c r="A349" s="13"/>
      <c r="C349" s="86"/>
    </row>
    <row r="350">
      <c r="A350" s="13"/>
      <c r="C350" s="86"/>
    </row>
    <row r="351">
      <c r="A351" s="13"/>
      <c r="C351" s="86"/>
    </row>
    <row r="352">
      <c r="A352" s="13"/>
      <c r="C352" s="86"/>
    </row>
    <row r="353">
      <c r="A353" s="13"/>
      <c r="C353" s="86"/>
    </row>
    <row r="354">
      <c r="A354" s="13"/>
      <c r="C354" s="86"/>
    </row>
    <row r="355">
      <c r="A355" s="13"/>
      <c r="C355" s="86"/>
    </row>
    <row r="356">
      <c r="A356" s="13"/>
      <c r="C356" s="86"/>
    </row>
    <row r="357">
      <c r="A357" s="13"/>
      <c r="C357" s="86"/>
    </row>
    <row r="358">
      <c r="A358" s="13"/>
      <c r="C358" s="86"/>
    </row>
    <row r="359">
      <c r="A359" s="13"/>
      <c r="C359" s="86"/>
    </row>
    <row r="360">
      <c r="A360" s="13"/>
      <c r="C360" s="86"/>
    </row>
    <row r="361">
      <c r="A361" s="13"/>
      <c r="C361" s="86"/>
    </row>
    <row r="362">
      <c r="A362" s="13"/>
      <c r="C362" s="86"/>
    </row>
    <row r="363">
      <c r="A363" s="13"/>
      <c r="C363" s="86"/>
    </row>
    <row r="364">
      <c r="A364" s="13"/>
      <c r="C364" s="86"/>
    </row>
    <row r="365">
      <c r="A365" s="13"/>
      <c r="C365" s="86"/>
    </row>
    <row r="366">
      <c r="A366" s="13"/>
      <c r="C366" s="86"/>
    </row>
    <row r="367">
      <c r="A367" s="13"/>
      <c r="C367" s="86"/>
    </row>
    <row r="368">
      <c r="A368" s="13"/>
      <c r="C368" s="86"/>
    </row>
    <row r="369">
      <c r="A369" s="13"/>
      <c r="C369" s="86"/>
    </row>
    <row r="370">
      <c r="A370" s="13"/>
      <c r="C370" s="86"/>
    </row>
    <row r="371">
      <c r="A371" s="13"/>
      <c r="C371" s="86"/>
    </row>
    <row r="372">
      <c r="A372" s="13"/>
      <c r="C372" s="86"/>
    </row>
    <row r="373">
      <c r="A373" s="13"/>
      <c r="C373" s="86"/>
    </row>
    <row r="374">
      <c r="A374" s="13"/>
      <c r="C374" s="86"/>
    </row>
    <row r="375">
      <c r="A375" s="13"/>
      <c r="C375" s="86"/>
    </row>
    <row r="376">
      <c r="A376" s="13"/>
      <c r="C376" s="86"/>
    </row>
    <row r="377">
      <c r="A377" s="13"/>
      <c r="C377" s="86"/>
    </row>
    <row r="378">
      <c r="A378" s="13"/>
      <c r="C378" s="86"/>
    </row>
    <row r="379">
      <c r="A379" s="13"/>
      <c r="C379" s="86"/>
    </row>
    <row r="380">
      <c r="A380" s="13"/>
      <c r="C380" s="86"/>
    </row>
    <row r="381">
      <c r="A381" s="13"/>
      <c r="C381" s="86"/>
    </row>
    <row r="382">
      <c r="A382" s="13"/>
      <c r="C382" s="86"/>
    </row>
    <row r="383">
      <c r="A383" s="13"/>
      <c r="C383" s="86"/>
    </row>
    <row r="384">
      <c r="A384" s="13"/>
      <c r="C384" s="86"/>
    </row>
    <row r="385">
      <c r="A385" s="13"/>
      <c r="C385" s="86"/>
    </row>
    <row r="386">
      <c r="A386" s="13"/>
      <c r="C386" s="86"/>
    </row>
    <row r="387">
      <c r="A387" s="13"/>
      <c r="C387" s="86"/>
    </row>
    <row r="388">
      <c r="A388" s="13"/>
      <c r="C388" s="86"/>
    </row>
    <row r="389">
      <c r="A389" s="13"/>
      <c r="C389" s="86"/>
    </row>
    <row r="390">
      <c r="A390" s="13"/>
      <c r="C390" s="86"/>
    </row>
    <row r="391">
      <c r="A391" s="13"/>
      <c r="C391" s="86"/>
    </row>
    <row r="392">
      <c r="A392" s="13"/>
      <c r="C392" s="86"/>
    </row>
    <row r="393">
      <c r="A393" s="13"/>
      <c r="C393" s="86"/>
    </row>
    <row r="394">
      <c r="A394" s="13"/>
      <c r="C394" s="86"/>
    </row>
    <row r="395">
      <c r="A395" s="13"/>
      <c r="C395" s="86"/>
    </row>
    <row r="396">
      <c r="A396" s="13"/>
      <c r="C396" s="86"/>
    </row>
    <row r="397">
      <c r="A397" s="13"/>
      <c r="C397" s="86"/>
    </row>
    <row r="398">
      <c r="A398" s="13"/>
      <c r="C398" s="86"/>
    </row>
    <row r="399">
      <c r="A399" s="13"/>
      <c r="C399" s="86"/>
    </row>
    <row r="400">
      <c r="A400" s="13"/>
      <c r="C400" s="86"/>
    </row>
    <row r="401">
      <c r="A401" s="13"/>
      <c r="C401" s="86"/>
    </row>
    <row r="402">
      <c r="A402" s="13"/>
      <c r="C402" s="86"/>
    </row>
    <row r="403">
      <c r="A403" s="13"/>
      <c r="C403" s="86"/>
    </row>
    <row r="404">
      <c r="A404" s="13"/>
      <c r="C404" s="86"/>
    </row>
    <row r="405">
      <c r="A405" s="13"/>
      <c r="C405" s="86"/>
    </row>
    <row r="406">
      <c r="A406" s="13"/>
      <c r="C406" s="86"/>
    </row>
    <row r="407">
      <c r="A407" s="13"/>
      <c r="C407" s="86"/>
    </row>
    <row r="408">
      <c r="A408" s="13"/>
      <c r="C408" s="86"/>
    </row>
    <row r="409">
      <c r="A409" s="13"/>
      <c r="C409" s="86"/>
    </row>
    <row r="410">
      <c r="A410" s="13"/>
      <c r="C410" s="86"/>
    </row>
    <row r="411">
      <c r="A411" s="13"/>
      <c r="C411" s="86"/>
    </row>
    <row r="412">
      <c r="A412" s="13"/>
      <c r="C412" s="86"/>
    </row>
    <row r="413">
      <c r="A413" s="13"/>
      <c r="C413" s="86"/>
    </row>
    <row r="414">
      <c r="A414" s="13"/>
      <c r="C414" s="86"/>
    </row>
    <row r="415">
      <c r="A415" s="13"/>
      <c r="C415" s="86"/>
    </row>
    <row r="416">
      <c r="A416" s="13"/>
      <c r="C416" s="86"/>
    </row>
    <row r="417">
      <c r="A417" s="13"/>
      <c r="C417" s="86"/>
    </row>
    <row r="418">
      <c r="A418" s="13"/>
      <c r="C418" s="86"/>
    </row>
    <row r="419">
      <c r="A419" s="13"/>
      <c r="C419" s="86"/>
    </row>
    <row r="420">
      <c r="A420" s="13"/>
      <c r="C420" s="86"/>
    </row>
    <row r="421">
      <c r="A421" s="13"/>
      <c r="C421" s="86"/>
    </row>
    <row r="422">
      <c r="A422" s="13"/>
      <c r="C422" s="86"/>
    </row>
    <row r="423">
      <c r="A423" s="13"/>
      <c r="C423" s="86"/>
    </row>
    <row r="424">
      <c r="A424" s="13"/>
      <c r="C424" s="86"/>
    </row>
    <row r="425">
      <c r="A425" s="13"/>
      <c r="C425" s="86"/>
    </row>
    <row r="426">
      <c r="A426" s="13"/>
      <c r="C426" s="86"/>
    </row>
    <row r="427">
      <c r="A427" s="13"/>
      <c r="C427" s="86"/>
    </row>
    <row r="428">
      <c r="A428" s="13"/>
      <c r="C428" s="86"/>
    </row>
    <row r="429">
      <c r="A429" s="13"/>
      <c r="C429" s="86"/>
    </row>
    <row r="430">
      <c r="A430" s="13"/>
      <c r="C430" s="86"/>
    </row>
    <row r="431">
      <c r="A431" s="13"/>
      <c r="C431" s="86"/>
    </row>
    <row r="432">
      <c r="A432" s="13"/>
      <c r="C432" s="86"/>
    </row>
    <row r="433">
      <c r="A433" s="13"/>
      <c r="C433" s="86"/>
    </row>
    <row r="434">
      <c r="A434" s="13"/>
      <c r="C434" s="86"/>
    </row>
    <row r="435">
      <c r="A435" s="13"/>
      <c r="C435" s="86"/>
    </row>
    <row r="436">
      <c r="A436" s="13"/>
      <c r="C436" s="86"/>
    </row>
    <row r="437">
      <c r="A437" s="13"/>
      <c r="C437" s="86"/>
    </row>
    <row r="438">
      <c r="A438" s="13"/>
      <c r="C438" s="86"/>
    </row>
    <row r="439">
      <c r="A439" s="13"/>
      <c r="C439" s="86"/>
    </row>
    <row r="440">
      <c r="A440" s="13"/>
      <c r="C440" s="86"/>
    </row>
    <row r="441">
      <c r="A441" s="13"/>
      <c r="C441" s="86"/>
    </row>
    <row r="442">
      <c r="A442" s="13"/>
      <c r="C442" s="86"/>
    </row>
    <row r="443">
      <c r="A443" s="13"/>
      <c r="C443" s="86"/>
    </row>
    <row r="444">
      <c r="A444" s="13"/>
      <c r="C444" s="86"/>
    </row>
    <row r="445">
      <c r="A445" s="13"/>
      <c r="C445" s="86"/>
    </row>
    <row r="446">
      <c r="A446" s="13"/>
      <c r="C446" s="86"/>
    </row>
    <row r="447">
      <c r="A447" s="13"/>
      <c r="C447" s="86"/>
    </row>
    <row r="448">
      <c r="A448" s="13"/>
      <c r="C448" s="86"/>
    </row>
    <row r="449">
      <c r="A449" s="13"/>
      <c r="C449" s="86"/>
    </row>
    <row r="450">
      <c r="A450" s="13"/>
      <c r="C450" s="86"/>
    </row>
    <row r="451">
      <c r="A451" s="13"/>
      <c r="C451" s="86"/>
    </row>
    <row r="452">
      <c r="A452" s="13"/>
      <c r="C452" s="86"/>
    </row>
    <row r="453">
      <c r="A453" s="13"/>
      <c r="C453" s="86"/>
    </row>
    <row r="454">
      <c r="A454" s="13"/>
      <c r="C454" s="86"/>
    </row>
    <row r="455">
      <c r="A455" s="13"/>
      <c r="C455" s="86"/>
    </row>
    <row r="456">
      <c r="A456" s="13"/>
      <c r="C456" s="86"/>
    </row>
    <row r="457">
      <c r="A457" s="13"/>
      <c r="C457" s="86"/>
    </row>
    <row r="458">
      <c r="A458" s="13"/>
      <c r="C458" s="86"/>
    </row>
    <row r="459">
      <c r="A459" s="13"/>
      <c r="C459" s="86"/>
    </row>
    <row r="460">
      <c r="A460" s="13"/>
      <c r="C460" s="86"/>
    </row>
    <row r="461">
      <c r="A461" s="13"/>
      <c r="C461" s="86"/>
    </row>
    <row r="462">
      <c r="A462" s="13"/>
      <c r="C462" s="86"/>
    </row>
    <row r="463">
      <c r="A463" s="13"/>
      <c r="C463" s="86"/>
    </row>
    <row r="464">
      <c r="A464" s="13"/>
      <c r="C464" s="86"/>
    </row>
    <row r="465">
      <c r="A465" s="13"/>
      <c r="C465" s="86"/>
    </row>
    <row r="466">
      <c r="A466" s="13"/>
      <c r="C466" s="86"/>
    </row>
    <row r="467">
      <c r="A467" s="13"/>
      <c r="C467" s="86"/>
    </row>
    <row r="468">
      <c r="A468" s="13"/>
      <c r="C468" s="86"/>
    </row>
    <row r="469">
      <c r="A469" s="13"/>
      <c r="C469" s="86"/>
    </row>
    <row r="470">
      <c r="A470" s="13"/>
      <c r="C470" s="86"/>
    </row>
    <row r="471">
      <c r="A471" s="13"/>
      <c r="C471" s="86"/>
    </row>
    <row r="472">
      <c r="A472" s="13"/>
      <c r="C472" s="86"/>
    </row>
    <row r="473">
      <c r="A473" s="13"/>
      <c r="C473" s="86"/>
    </row>
    <row r="474">
      <c r="A474" s="13"/>
      <c r="C474" s="86"/>
    </row>
    <row r="475">
      <c r="A475" s="13"/>
      <c r="C475" s="86"/>
    </row>
    <row r="476">
      <c r="A476" s="13"/>
      <c r="C476" s="86"/>
    </row>
    <row r="477">
      <c r="A477" s="13"/>
      <c r="C477" s="86"/>
    </row>
    <row r="478">
      <c r="A478" s="13"/>
      <c r="C478" s="86"/>
    </row>
    <row r="479">
      <c r="A479" s="13"/>
      <c r="C479" s="86"/>
    </row>
    <row r="480">
      <c r="A480" s="13"/>
      <c r="C480" s="86"/>
    </row>
    <row r="481">
      <c r="A481" s="13"/>
      <c r="C481" s="86"/>
    </row>
    <row r="482">
      <c r="A482" s="13"/>
      <c r="C482" s="86"/>
    </row>
    <row r="483">
      <c r="A483" s="13"/>
      <c r="C483" s="86"/>
    </row>
    <row r="484">
      <c r="A484" s="13"/>
      <c r="C484" s="86"/>
    </row>
    <row r="485">
      <c r="A485" s="13"/>
      <c r="C485" s="86"/>
    </row>
    <row r="486">
      <c r="A486" s="13"/>
      <c r="C486" s="86"/>
    </row>
    <row r="487">
      <c r="A487" s="13"/>
      <c r="C487" s="86"/>
    </row>
    <row r="488">
      <c r="A488" s="13"/>
      <c r="C488" s="86"/>
    </row>
    <row r="489">
      <c r="A489" s="13"/>
      <c r="C489" s="86"/>
    </row>
    <row r="490">
      <c r="A490" s="13"/>
      <c r="C490" s="86"/>
    </row>
    <row r="491">
      <c r="A491" s="13"/>
      <c r="C491" s="86"/>
    </row>
    <row r="492">
      <c r="A492" s="13"/>
      <c r="C492" s="86"/>
    </row>
    <row r="493">
      <c r="A493" s="13"/>
      <c r="C493" s="86"/>
    </row>
    <row r="494">
      <c r="A494" s="13"/>
      <c r="C494" s="86"/>
    </row>
    <row r="495">
      <c r="A495" s="13"/>
      <c r="C495" s="86"/>
    </row>
    <row r="496">
      <c r="A496" s="13"/>
      <c r="C496" s="86"/>
    </row>
    <row r="497">
      <c r="A497" s="13"/>
      <c r="C497" s="86"/>
    </row>
    <row r="498">
      <c r="A498" s="13"/>
      <c r="C498" s="86"/>
    </row>
    <row r="499">
      <c r="A499" s="13"/>
      <c r="C499" s="86"/>
    </row>
    <row r="500">
      <c r="A500" s="13"/>
      <c r="C500" s="86"/>
    </row>
    <row r="501">
      <c r="A501" s="13"/>
      <c r="C501" s="86"/>
    </row>
    <row r="502">
      <c r="A502" s="13"/>
      <c r="C502" s="86"/>
    </row>
    <row r="503">
      <c r="A503" s="13"/>
      <c r="C503" s="86"/>
    </row>
    <row r="504">
      <c r="A504" s="13"/>
      <c r="C504" s="86"/>
    </row>
    <row r="505">
      <c r="A505" s="13"/>
      <c r="C505" s="86"/>
    </row>
    <row r="506">
      <c r="A506" s="13"/>
      <c r="C506" s="86"/>
    </row>
    <row r="507">
      <c r="A507" s="13"/>
      <c r="C507" s="86"/>
    </row>
    <row r="508">
      <c r="A508" s="13"/>
      <c r="C508" s="86"/>
    </row>
    <row r="509">
      <c r="A509" s="13"/>
      <c r="C509" s="86"/>
    </row>
    <row r="510">
      <c r="A510" s="13"/>
      <c r="C510" s="86"/>
    </row>
    <row r="511">
      <c r="A511" s="13"/>
      <c r="C511" s="86"/>
    </row>
    <row r="512">
      <c r="A512" s="13"/>
      <c r="C512" s="86"/>
    </row>
    <row r="513">
      <c r="A513" s="13"/>
      <c r="C513" s="86"/>
    </row>
    <row r="514">
      <c r="A514" s="13"/>
      <c r="C514" s="86"/>
    </row>
    <row r="515">
      <c r="A515" s="13"/>
      <c r="C515" s="86"/>
    </row>
    <row r="516">
      <c r="A516" s="13"/>
      <c r="C516" s="86"/>
    </row>
    <row r="517">
      <c r="A517" s="13"/>
      <c r="C517" s="86"/>
    </row>
    <row r="518">
      <c r="A518" s="13"/>
      <c r="C518" s="86"/>
    </row>
    <row r="519">
      <c r="A519" s="13"/>
      <c r="C519" s="86"/>
    </row>
    <row r="520">
      <c r="A520" s="13"/>
      <c r="C520" s="86"/>
    </row>
    <row r="521">
      <c r="A521" s="13"/>
      <c r="C521" s="86"/>
    </row>
    <row r="522">
      <c r="A522" s="13"/>
      <c r="C522" s="86"/>
    </row>
    <row r="523">
      <c r="A523" s="13"/>
      <c r="C523" s="86"/>
    </row>
    <row r="524">
      <c r="A524" s="13"/>
      <c r="C524" s="86"/>
    </row>
    <row r="525">
      <c r="A525" s="13"/>
      <c r="C525" s="86"/>
    </row>
    <row r="526">
      <c r="A526" s="13"/>
      <c r="C526" s="86"/>
    </row>
    <row r="527">
      <c r="A527" s="13"/>
      <c r="C527" s="86"/>
    </row>
    <row r="528">
      <c r="A528" s="13"/>
      <c r="C528" s="86"/>
    </row>
    <row r="529">
      <c r="A529" s="13"/>
      <c r="C529" s="86"/>
    </row>
    <row r="530">
      <c r="A530" s="13"/>
      <c r="C530" s="86"/>
    </row>
    <row r="531">
      <c r="A531" s="13"/>
      <c r="C531" s="86"/>
    </row>
    <row r="532">
      <c r="A532" s="13"/>
      <c r="C532" s="86"/>
    </row>
    <row r="533">
      <c r="A533" s="13"/>
      <c r="C533" s="86"/>
    </row>
    <row r="534">
      <c r="A534" s="13"/>
      <c r="C534" s="86"/>
    </row>
    <row r="535">
      <c r="A535" s="13"/>
      <c r="C535" s="86"/>
    </row>
    <row r="536">
      <c r="A536" s="13"/>
      <c r="C536" s="86"/>
    </row>
    <row r="537">
      <c r="A537" s="13"/>
      <c r="C537" s="86"/>
    </row>
    <row r="538">
      <c r="A538" s="13"/>
      <c r="C538" s="86"/>
    </row>
    <row r="539">
      <c r="A539" s="13"/>
      <c r="C539" s="86"/>
    </row>
    <row r="540">
      <c r="A540" s="13"/>
      <c r="C540" s="86"/>
    </row>
    <row r="541">
      <c r="A541" s="13"/>
      <c r="C541" s="86"/>
    </row>
    <row r="542">
      <c r="A542" s="13"/>
      <c r="C542" s="86"/>
    </row>
    <row r="543">
      <c r="A543" s="13"/>
      <c r="C543" s="86"/>
    </row>
    <row r="544">
      <c r="A544" s="13"/>
      <c r="C544" s="86"/>
    </row>
    <row r="545">
      <c r="A545" s="13"/>
      <c r="C545" s="86"/>
    </row>
    <row r="546">
      <c r="A546" s="13"/>
      <c r="C546" s="86"/>
    </row>
    <row r="547">
      <c r="A547" s="13"/>
      <c r="C547" s="86"/>
    </row>
    <row r="548">
      <c r="A548" s="13"/>
      <c r="C548" s="86"/>
    </row>
    <row r="549">
      <c r="A549" s="13"/>
      <c r="C549" s="86"/>
    </row>
    <row r="550">
      <c r="A550" s="13"/>
      <c r="C550" s="86"/>
    </row>
    <row r="551">
      <c r="A551" s="13"/>
      <c r="C551" s="86"/>
    </row>
    <row r="552">
      <c r="A552" s="13"/>
      <c r="C552" s="86"/>
    </row>
    <row r="553">
      <c r="A553" s="13"/>
      <c r="C553" s="86"/>
    </row>
    <row r="554">
      <c r="A554" s="13"/>
      <c r="C554" s="86"/>
    </row>
    <row r="555">
      <c r="A555" s="13"/>
      <c r="C555" s="86"/>
    </row>
    <row r="556">
      <c r="A556" s="13"/>
      <c r="C556" s="86"/>
    </row>
    <row r="557">
      <c r="A557" s="13"/>
      <c r="C557" s="86"/>
    </row>
    <row r="558">
      <c r="A558" s="13"/>
      <c r="C558" s="86"/>
    </row>
    <row r="559">
      <c r="A559" s="13"/>
      <c r="C559" s="86"/>
    </row>
    <row r="560">
      <c r="A560" s="13"/>
      <c r="C560" s="86"/>
    </row>
    <row r="561">
      <c r="A561" s="13"/>
      <c r="C561" s="86"/>
    </row>
    <row r="562">
      <c r="A562" s="13"/>
      <c r="C562" s="86"/>
    </row>
    <row r="563">
      <c r="A563" s="13"/>
      <c r="C563" s="86"/>
    </row>
    <row r="564">
      <c r="A564" s="13"/>
      <c r="C564" s="86"/>
    </row>
    <row r="565">
      <c r="A565" s="13"/>
      <c r="C565" s="86"/>
    </row>
    <row r="566">
      <c r="A566" s="13"/>
      <c r="C566" s="86"/>
    </row>
    <row r="567">
      <c r="A567" s="13"/>
      <c r="C567" s="86"/>
    </row>
    <row r="568">
      <c r="A568" s="13"/>
      <c r="C568" s="86"/>
    </row>
    <row r="569">
      <c r="A569" s="13"/>
      <c r="C569" s="86"/>
    </row>
    <row r="570">
      <c r="A570" s="13"/>
      <c r="C570" s="86"/>
    </row>
    <row r="571">
      <c r="A571" s="13"/>
      <c r="C571" s="86"/>
    </row>
    <row r="572">
      <c r="A572" s="13"/>
      <c r="C572" s="86"/>
    </row>
    <row r="573">
      <c r="A573" s="13"/>
      <c r="C573" s="86"/>
    </row>
    <row r="574">
      <c r="A574" s="13"/>
      <c r="C574" s="86"/>
    </row>
    <row r="575">
      <c r="A575" s="13"/>
      <c r="C575" s="86"/>
    </row>
    <row r="576">
      <c r="A576" s="13"/>
      <c r="C576" s="86"/>
    </row>
    <row r="577">
      <c r="A577" s="13"/>
      <c r="C577" s="86"/>
    </row>
    <row r="578">
      <c r="A578" s="13"/>
      <c r="C578" s="86"/>
    </row>
    <row r="579">
      <c r="A579" s="13"/>
      <c r="C579" s="86"/>
    </row>
    <row r="580">
      <c r="A580" s="13"/>
      <c r="C580" s="86"/>
    </row>
    <row r="581">
      <c r="A581" s="13"/>
      <c r="C581" s="86"/>
    </row>
    <row r="582">
      <c r="A582" s="13"/>
      <c r="C582" s="86"/>
    </row>
    <row r="583">
      <c r="A583" s="13"/>
      <c r="C583" s="86"/>
    </row>
    <row r="584">
      <c r="A584" s="13"/>
      <c r="C584" s="86"/>
    </row>
    <row r="585">
      <c r="A585" s="13"/>
      <c r="C585" s="86"/>
    </row>
    <row r="586">
      <c r="A586" s="13"/>
      <c r="C586" s="86"/>
    </row>
    <row r="587">
      <c r="A587" s="13"/>
      <c r="C587" s="86"/>
    </row>
    <row r="588">
      <c r="A588" s="13"/>
      <c r="C588" s="86"/>
    </row>
    <row r="589">
      <c r="A589" s="13"/>
      <c r="C589" s="86"/>
    </row>
    <row r="590">
      <c r="A590" s="13"/>
      <c r="C590" s="86"/>
    </row>
    <row r="591">
      <c r="A591" s="13"/>
      <c r="C591" s="86"/>
    </row>
    <row r="592">
      <c r="A592" s="13"/>
      <c r="C592" s="86"/>
    </row>
    <row r="593">
      <c r="A593" s="13"/>
      <c r="C593" s="86"/>
    </row>
    <row r="594">
      <c r="A594" s="13"/>
      <c r="C594" s="86"/>
    </row>
    <row r="595">
      <c r="A595" s="13"/>
      <c r="C595" s="86"/>
    </row>
    <row r="596">
      <c r="A596" s="13"/>
      <c r="C596" s="86"/>
    </row>
    <row r="597">
      <c r="A597" s="13"/>
      <c r="C597" s="86"/>
    </row>
    <row r="598">
      <c r="A598" s="13"/>
      <c r="C598" s="86"/>
    </row>
    <row r="599">
      <c r="A599" s="13"/>
      <c r="C599" s="86"/>
    </row>
    <row r="600">
      <c r="A600" s="13"/>
      <c r="C600" s="86"/>
    </row>
    <row r="601">
      <c r="A601" s="13"/>
      <c r="C601" s="86"/>
    </row>
    <row r="602">
      <c r="A602" s="13"/>
      <c r="C602" s="86"/>
    </row>
    <row r="603">
      <c r="A603" s="13"/>
      <c r="C603" s="86"/>
    </row>
    <row r="604">
      <c r="A604" s="13"/>
      <c r="C604" s="86"/>
    </row>
    <row r="605">
      <c r="A605" s="13"/>
      <c r="C605" s="86"/>
    </row>
    <row r="606">
      <c r="A606" s="13"/>
      <c r="C606" s="86"/>
    </row>
    <row r="607">
      <c r="A607" s="13"/>
      <c r="C607" s="86"/>
    </row>
    <row r="608">
      <c r="A608" s="13"/>
      <c r="C608" s="86"/>
    </row>
    <row r="609">
      <c r="A609" s="13"/>
      <c r="C609" s="86"/>
    </row>
    <row r="610">
      <c r="A610" s="13"/>
      <c r="C610" s="86"/>
    </row>
    <row r="611">
      <c r="A611" s="13"/>
      <c r="C611" s="86"/>
    </row>
    <row r="612">
      <c r="A612" s="13"/>
      <c r="C612" s="86"/>
    </row>
    <row r="613">
      <c r="A613" s="13"/>
      <c r="C613" s="86"/>
    </row>
    <row r="614">
      <c r="A614" s="13"/>
      <c r="C614" s="86"/>
    </row>
    <row r="615">
      <c r="A615" s="13"/>
      <c r="C615" s="86"/>
    </row>
    <row r="616">
      <c r="A616" s="13"/>
      <c r="C616" s="86"/>
    </row>
    <row r="617">
      <c r="A617" s="13"/>
      <c r="C617" s="86"/>
    </row>
    <row r="618">
      <c r="A618" s="13"/>
      <c r="C618" s="86"/>
    </row>
    <row r="619">
      <c r="A619" s="13"/>
      <c r="C619" s="86"/>
    </row>
    <row r="620">
      <c r="A620" s="13"/>
      <c r="C620" s="86"/>
    </row>
    <row r="621">
      <c r="A621" s="13"/>
      <c r="C621" s="86"/>
    </row>
    <row r="622">
      <c r="A622" s="13"/>
      <c r="C622" s="86"/>
    </row>
    <row r="623">
      <c r="A623" s="13"/>
      <c r="C623" s="86"/>
    </row>
    <row r="624">
      <c r="A624" s="13"/>
      <c r="C624" s="86"/>
    </row>
    <row r="625">
      <c r="A625" s="13"/>
      <c r="C625" s="86"/>
    </row>
    <row r="626">
      <c r="A626" s="13"/>
      <c r="C626" s="86"/>
    </row>
    <row r="627">
      <c r="A627" s="13"/>
      <c r="C627" s="86"/>
    </row>
    <row r="628">
      <c r="A628" s="13"/>
      <c r="C628" s="86"/>
    </row>
    <row r="629">
      <c r="A629" s="13"/>
      <c r="C629" s="86"/>
    </row>
    <row r="630">
      <c r="A630" s="13"/>
      <c r="C630" s="86"/>
    </row>
    <row r="631">
      <c r="A631" s="13"/>
      <c r="C631" s="86"/>
    </row>
    <row r="632">
      <c r="A632" s="13"/>
      <c r="C632" s="86"/>
    </row>
    <row r="633">
      <c r="A633" s="13"/>
      <c r="C633" s="86"/>
    </row>
    <row r="634">
      <c r="A634" s="13"/>
      <c r="C634" s="86"/>
    </row>
    <row r="635">
      <c r="A635" s="13"/>
      <c r="C635" s="86"/>
    </row>
    <row r="636">
      <c r="A636" s="13"/>
      <c r="C636" s="86"/>
    </row>
    <row r="637">
      <c r="A637" s="13"/>
      <c r="C637" s="86"/>
    </row>
    <row r="638">
      <c r="A638" s="13"/>
      <c r="C638" s="86"/>
    </row>
    <row r="639">
      <c r="A639" s="13"/>
      <c r="C639" s="86"/>
    </row>
    <row r="640">
      <c r="A640" s="13"/>
      <c r="C640" s="86"/>
    </row>
    <row r="641">
      <c r="A641" s="13"/>
      <c r="C641" s="86"/>
    </row>
    <row r="642">
      <c r="A642" s="13"/>
      <c r="C642" s="86"/>
    </row>
    <row r="643">
      <c r="A643" s="13"/>
      <c r="C643" s="86"/>
    </row>
    <row r="644">
      <c r="A644" s="13"/>
      <c r="C644" s="86"/>
    </row>
    <row r="645">
      <c r="A645" s="13"/>
      <c r="C645" s="86"/>
    </row>
    <row r="646">
      <c r="A646" s="13"/>
      <c r="C646" s="86"/>
    </row>
    <row r="647">
      <c r="A647" s="13"/>
      <c r="C647" s="86"/>
    </row>
    <row r="648">
      <c r="A648" s="13"/>
      <c r="C648" s="86"/>
    </row>
    <row r="649">
      <c r="A649" s="13"/>
      <c r="C649" s="86"/>
    </row>
    <row r="650">
      <c r="A650" s="13"/>
      <c r="C650" s="86"/>
    </row>
    <row r="651">
      <c r="A651" s="13"/>
      <c r="C651" s="86"/>
    </row>
    <row r="652">
      <c r="A652" s="13"/>
      <c r="C652" s="86"/>
    </row>
    <row r="653">
      <c r="A653" s="13"/>
      <c r="C653" s="86"/>
    </row>
    <row r="654">
      <c r="A654" s="13"/>
      <c r="C654" s="86"/>
    </row>
    <row r="655">
      <c r="A655" s="13"/>
      <c r="C655" s="86"/>
    </row>
    <row r="656">
      <c r="A656" s="13"/>
      <c r="C656" s="86"/>
    </row>
    <row r="657">
      <c r="A657" s="13"/>
      <c r="C657" s="86"/>
    </row>
    <row r="658">
      <c r="A658" s="13"/>
      <c r="C658" s="86"/>
    </row>
    <row r="659">
      <c r="A659" s="13"/>
      <c r="C659" s="86"/>
    </row>
    <row r="660">
      <c r="A660" s="13"/>
      <c r="C660" s="86"/>
    </row>
    <row r="661">
      <c r="A661" s="13"/>
      <c r="C661" s="86"/>
    </row>
    <row r="662">
      <c r="A662" s="13"/>
      <c r="C662" s="86"/>
    </row>
    <row r="663">
      <c r="A663" s="13"/>
      <c r="C663" s="86"/>
    </row>
    <row r="664">
      <c r="A664" s="13"/>
      <c r="C664" s="86"/>
    </row>
    <row r="665">
      <c r="A665" s="13"/>
      <c r="C665" s="86"/>
    </row>
    <row r="666">
      <c r="A666" s="13"/>
      <c r="C666" s="86"/>
    </row>
    <row r="667">
      <c r="A667" s="13"/>
      <c r="C667" s="86"/>
    </row>
    <row r="668">
      <c r="A668" s="13"/>
      <c r="C668" s="86"/>
    </row>
    <row r="669">
      <c r="A669" s="13"/>
      <c r="C669" s="86"/>
    </row>
    <row r="670">
      <c r="A670" s="13"/>
      <c r="C670" s="86"/>
    </row>
    <row r="671">
      <c r="A671" s="13"/>
      <c r="C671" s="86"/>
    </row>
    <row r="672">
      <c r="A672" s="13"/>
      <c r="C672" s="86"/>
    </row>
    <row r="673">
      <c r="A673" s="13"/>
      <c r="C673" s="86"/>
    </row>
    <row r="674">
      <c r="A674" s="13"/>
      <c r="C674" s="86"/>
    </row>
    <row r="675">
      <c r="A675" s="13"/>
      <c r="C675" s="86"/>
    </row>
    <row r="676">
      <c r="A676" s="13"/>
      <c r="C676" s="86"/>
    </row>
    <row r="677">
      <c r="A677" s="13"/>
      <c r="C677" s="86"/>
    </row>
    <row r="678">
      <c r="A678" s="13"/>
      <c r="C678" s="86"/>
    </row>
    <row r="679">
      <c r="A679" s="13"/>
      <c r="C679" s="86"/>
    </row>
    <row r="680">
      <c r="A680" s="13"/>
      <c r="C680" s="86"/>
    </row>
    <row r="681">
      <c r="A681" s="13"/>
      <c r="C681" s="86"/>
    </row>
    <row r="682">
      <c r="A682" s="13"/>
      <c r="C682" s="86"/>
    </row>
    <row r="683">
      <c r="A683" s="13"/>
      <c r="C683" s="86"/>
    </row>
    <row r="684">
      <c r="A684" s="13"/>
      <c r="C684" s="86"/>
    </row>
    <row r="685">
      <c r="A685" s="13"/>
      <c r="C685" s="86"/>
    </row>
    <row r="686">
      <c r="A686" s="13"/>
      <c r="C686" s="86"/>
    </row>
    <row r="687">
      <c r="A687" s="13"/>
      <c r="C687" s="86"/>
    </row>
    <row r="688">
      <c r="A688" s="13"/>
      <c r="C688" s="86"/>
    </row>
    <row r="689">
      <c r="A689" s="13"/>
      <c r="C689" s="86"/>
    </row>
    <row r="690">
      <c r="A690" s="13"/>
      <c r="C690" s="86"/>
    </row>
    <row r="691">
      <c r="A691" s="13"/>
      <c r="C691" s="86"/>
    </row>
    <row r="692">
      <c r="A692" s="13"/>
      <c r="C692" s="86"/>
    </row>
    <row r="693">
      <c r="A693" s="13"/>
      <c r="C693" s="86"/>
    </row>
    <row r="694">
      <c r="A694" s="13"/>
      <c r="C694" s="86"/>
    </row>
    <row r="695">
      <c r="A695" s="13"/>
      <c r="C695" s="86"/>
    </row>
    <row r="696">
      <c r="A696" s="13"/>
      <c r="C696" s="86"/>
    </row>
    <row r="697">
      <c r="A697" s="13"/>
      <c r="C697" s="86"/>
    </row>
    <row r="698">
      <c r="A698" s="13"/>
      <c r="C698" s="86"/>
    </row>
    <row r="699">
      <c r="A699" s="13"/>
      <c r="C699" s="86"/>
    </row>
    <row r="700">
      <c r="A700" s="13"/>
      <c r="C700" s="86"/>
    </row>
    <row r="701">
      <c r="A701" s="13"/>
      <c r="C701" s="86"/>
    </row>
    <row r="702">
      <c r="A702" s="13"/>
      <c r="C702" s="86"/>
    </row>
    <row r="703">
      <c r="A703" s="13"/>
      <c r="C703" s="86"/>
    </row>
    <row r="704">
      <c r="A704" s="13"/>
      <c r="C704" s="86"/>
    </row>
    <row r="705">
      <c r="A705" s="13"/>
      <c r="C705" s="86"/>
    </row>
    <row r="706">
      <c r="A706" s="13"/>
      <c r="C706" s="86"/>
    </row>
    <row r="707">
      <c r="A707" s="13"/>
      <c r="C707" s="86"/>
    </row>
    <row r="708">
      <c r="A708" s="13"/>
      <c r="C708" s="86"/>
    </row>
    <row r="709">
      <c r="A709" s="13"/>
      <c r="C709" s="86"/>
    </row>
    <row r="710">
      <c r="A710" s="13"/>
      <c r="C710" s="86"/>
    </row>
    <row r="711">
      <c r="A711" s="13"/>
      <c r="C711" s="86"/>
    </row>
    <row r="712">
      <c r="A712" s="13"/>
      <c r="C712" s="86"/>
    </row>
    <row r="713">
      <c r="A713" s="13"/>
      <c r="C713" s="86"/>
    </row>
    <row r="714">
      <c r="A714" s="13"/>
      <c r="C714" s="86"/>
    </row>
    <row r="715">
      <c r="A715" s="13"/>
      <c r="C715" s="86"/>
    </row>
    <row r="716">
      <c r="A716" s="13"/>
      <c r="C716" s="86"/>
    </row>
    <row r="717">
      <c r="A717" s="13"/>
      <c r="C717" s="86"/>
    </row>
    <row r="718">
      <c r="A718" s="13"/>
      <c r="C718" s="86"/>
    </row>
    <row r="719">
      <c r="A719" s="13"/>
      <c r="C719" s="86"/>
    </row>
    <row r="720">
      <c r="A720" s="13"/>
      <c r="C720" s="86"/>
    </row>
    <row r="721">
      <c r="A721" s="13"/>
      <c r="C721" s="86"/>
    </row>
    <row r="722">
      <c r="A722" s="13"/>
      <c r="C722" s="86"/>
    </row>
    <row r="723">
      <c r="A723" s="13"/>
      <c r="C723" s="86"/>
    </row>
    <row r="724">
      <c r="A724" s="13"/>
      <c r="C724" s="86"/>
    </row>
    <row r="725">
      <c r="A725" s="13"/>
      <c r="C725" s="86"/>
    </row>
    <row r="726">
      <c r="A726" s="13"/>
      <c r="C726" s="86"/>
    </row>
    <row r="727">
      <c r="A727" s="13"/>
      <c r="C727" s="86"/>
    </row>
    <row r="728">
      <c r="A728" s="13"/>
      <c r="C728" s="86"/>
    </row>
    <row r="729">
      <c r="A729" s="13"/>
      <c r="C729" s="86"/>
    </row>
    <row r="730">
      <c r="A730" s="13"/>
      <c r="C730" s="86"/>
    </row>
    <row r="731">
      <c r="A731" s="13"/>
      <c r="C731" s="86"/>
    </row>
    <row r="732">
      <c r="A732" s="13"/>
      <c r="C732" s="86"/>
    </row>
    <row r="733">
      <c r="A733" s="13"/>
      <c r="C733" s="86"/>
    </row>
    <row r="734">
      <c r="A734" s="13"/>
      <c r="C734" s="86"/>
    </row>
    <row r="735">
      <c r="A735" s="13"/>
      <c r="C735" s="86"/>
    </row>
    <row r="736">
      <c r="A736" s="13"/>
      <c r="C736" s="86"/>
    </row>
    <row r="737">
      <c r="A737" s="13"/>
      <c r="C737" s="86"/>
    </row>
    <row r="738">
      <c r="A738" s="13"/>
      <c r="C738" s="86"/>
    </row>
    <row r="739">
      <c r="A739" s="13"/>
      <c r="C739" s="86"/>
    </row>
    <row r="740">
      <c r="A740" s="13"/>
      <c r="C740" s="86"/>
    </row>
    <row r="741">
      <c r="A741" s="13"/>
      <c r="C741" s="86"/>
    </row>
    <row r="742">
      <c r="A742" s="13"/>
      <c r="C742" s="86"/>
    </row>
    <row r="743">
      <c r="A743" s="13"/>
      <c r="C743" s="86"/>
    </row>
    <row r="744">
      <c r="A744" s="13"/>
      <c r="C744" s="86"/>
    </row>
    <row r="745">
      <c r="A745" s="13"/>
      <c r="C745" s="86"/>
    </row>
    <row r="746">
      <c r="A746" s="13"/>
      <c r="C746" s="86"/>
    </row>
    <row r="747">
      <c r="A747" s="13"/>
      <c r="C747" s="86"/>
    </row>
    <row r="748">
      <c r="A748" s="13"/>
      <c r="C748" s="86"/>
    </row>
    <row r="749">
      <c r="A749" s="13"/>
      <c r="C749" s="86"/>
    </row>
    <row r="750">
      <c r="A750" s="13"/>
      <c r="C750" s="86"/>
    </row>
    <row r="751">
      <c r="A751" s="13"/>
      <c r="C751" s="86"/>
    </row>
    <row r="752">
      <c r="A752" s="13"/>
      <c r="C752" s="86"/>
    </row>
    <row r="753">
      <c r="A753" s="13"/>
      <c r="C753" s="86"/>
    </row>
    <row r="754">
      <c r="A754" s="13"/>
      <c r="C754" s="86"/>
    </row>
    <row r="755">
      <c r="A755" s="13"/>
      <c r="C755" s="86"/>
    </row>
    <row r="756">
      <c r="A756" s="13"/>
      <c r="C756" s="86"/>
    </row>
    <row r="757">
      <c r="A757" s="13"/>
      <c r="C757" s="86"/>
    </row>
    <row r="758">
      <c r="A758" s="13"/>
      <c r="C758" s="86"/>
    </row>
    <row r="759">
      <c r="A759" s="13"/>
      <c r="C759" s="86"/>
    </row>
    <row r="760">
      <c r="A760" s="13"/>
      <c r="C760" s="86"/>
    </row>
    <row r="761">
      <c r="A761" s="13"/>
      <c r="C761" s="86"/>
    </row>
    <row r="762">
      <c r="A762" s="13"/>
      <c r="C762" s="86"/>
    </row>
    <row r="763">
      <c r="A763" s="13"/>
      <c r="C763" s="86"/>
    </row>
    <row r="764">
      <c r="A764" s="13"/>
      <c r="C764" s="86"/>
    </row>
    <row r="765">
      <c r="A765" s="13"/>
      <c r="C765" s="86"/>
    </row>
    <row r="766">
      <c r="A766" s="13"/>
      <c r="C766" s="86"/>
    </row>
    <row r="767">
      <c r="A767" s="13"/>
      <c r="C767" s="86"/>
    </row>
    <row r="768">
      <c r="A768" s="13"/>
      <c r="C768" s="86"/>
    </row>
    <row r="769">
      <c r="A769" s="13"/>
      <c r="C769" s="86"/>
    </row>
    <row r="770">
      <c r="A770" s="13"/>
      <c r="C770" s="86"/>
    </row>
    <row r="771">
      <c r="A771" s="13"/>
      <c r="C771" s="86"/>
    </row>
    <row r="772">
      <c r="A772" s="13"/>
      <c r="C772" s="86"/>
    </row>
    <row r="773">
      <c r="A773" s="13"/>
      <c r="C773" s="86"/>
    </row>
    <row r="774">
      <c r="A774" s="13"/>
      <c r="C774" s="86"/>
    </row>
    <row r="775">
      <c r="A775" s="13"/>
      <c r="C775" s="86"/>
    </row>
    <row r="776">
      <c r="A776" s="13"/>
      <c r="C776" s="86"/>
    </row>
    <row r="777">
      <c r="A777" s="13"/>
      <c r="C777" s="86"/>
    </row>
    <row r="778">
      <c r="A778" s="13"/>
      <c r="C778" s="86"/>
    </row>
    <row r="779">
      <c r="A779" s="13"/>
      <c r="C779" s="86"/>
    </row>
    <row r="780">
      <c r="A780" s="13"/>
      <c r="C780" s="86"/>
    </row>
    <row r="781">
      <c r="A781" s="13"/>
      <c r="C781" s="86"/>
    </row>
    <row r="782">
      <c r="A782" s="13"/>
      <c r="C782" s="86"/>
    </row>
    <row r="783">
      <c r="A783" s="13"/>
      <c r="C783" s="86"/>
    </row>
    <row r="784">
      <c r="A784" s="13"/>
      <c r="C784" s="86"/>
    </row>
    <row r="785">
      <c r="A785" s="13"/>
      <c r="C785" s="86"/>
    </row>
    <row r="786">
      <c r="A786" s="13"/>
      <c r="C786" s="86"/>
    </row>
    <row r="787">
      <c r="A787" s="13"/>
      <c r="C787" s="86"/>
    </row>
    <row r="788">
      <c r="A788" s="13"/>
      <c r="C788" s="86"/>
    </row>
    <row r="789">
      <c r="A789" s="13"/>
      <c r="C789" s="86"/>
    </row>
    <row r="790">
      <c r="A790" s="13"/>
      <c r="C790" s="86"/>
    </row>
    <row r="791">
      <c r="A791" s="13"/>
      <c r="C791" s="86"/>
    </row>
    <row r="792">
      <c r="A792" s="13"/>
      <c r="C792" s="86"/>
    </row>
    <row r="793">
      <c r="A793" s="13"/>
      <c r="C793" s="86"/>
    </row>
    <row r="794">
      <c r="A794" s="13"/>
      <c r="C794" s="86"/>
    </row>
    <row r="795">
      <c r="A795" s="13"/>
      <c r="C795" s="86"/>
    </row>
    <row r="796">
      <c r="A796" s="13"/>
      <c r="C796" s="86"/>
    </row>
    <row r="797">
      <c r="A797" s="13"/>
      <c r="C797" s="86"/>
    </row>
    <row r="798">
      <c r="A798" s="13"/>
      <c r="C798" s="86"/>
    </row>
    <row r="799">
      <c r="A799" s="13"/>
      <c r="C799" s="86"/>
    </row>
    <row r="800">
      <c r="A800" s="13"/>
      <c r="C800" s="86"/>
    </row>
    <row r="801">
      <c r="A801" s="13"/>
      <c r="C801" s="86"/>
    </row>
    <row r="802">
      <c r="A802" s="13"/>
      <c r="C802" s="86"/>
    </row>
    <row r="803">
      <c r="A803" s="13"/>
      <c r="C803" s="86"/>
    </row>
    <row r="804">
      <c r="A804" s="13"/>
      <c r="C804" s="86"/>
    </row>
    <row r="805">
      <c r="A805" s="13"/>
      <c r="C805" s="86"/>
    </row>
    <row r="806">
      <c r="A806" s="13"/>
      <c r="C806" s="86"/>
    </row>
    <row r="807">
      <c r="A807" s="13"/>
      <c r="C807" s="86"/>
    </row>
    <row r="808">
      <c r="A808" s="13"/>
      <c r="C808" s="86"/>
    </row>
    <row r="809">
      <c r="A809" s="13"/>
      <c r="C809" s="86"/>
    </row>
    <row r="810">
      <c r="A810" s="13"/>
      <c r="C810" s="86"/>
    </row>
    <row r="811">
      <c r="A811" s="13"/>
      <c r="C811" s="86"/>
    </row>
    <row r="812">
      <c r="A812" s="13"/>
      <c r="C812" s="86"/>
    </row>
    <row r="813">
      <c r="A813" s="13"/>
      <c r="C813" s="86"/>
    </row>
    <row r="814">
      <c r="A814" s="13"/>
      <c r="C814" s="86"/>
    </row>
    <row r="815">
      <c r="A815" s="13"/>
      <c r="C815" s="86"/>
    </row>
    <row r="816">
      <c r="A816" s="13"/>
      <c r="C816" s="86"/>
    </row>
    <row r="817">
      <c r="A817" s="13"/>
      <c r="C817" s="86"/>
    </row>
    <row r="818">
      <c r="A818" s="13"/>
      <c r="C818" s="86"/>
    </row>
    <row r="819">
      <c r="A819" s="13"/>
      <c r="C819" s="86"/>
    </row>
    <row r="820">
      <c r="A820" s="13"/>
      <c r="C820" s="86"/>
    </row>
    <row r="821">
      <c r="A821" s="13"/>
      <c r="C821" s="86"/>
    </row>
    <row r="822">
      <c r="A822" s="13"/>
      <c r="C822" s="86"/>
    </row>
    <row r="823">
      <c r="A823" s="13"/>
      <c r="C823" s="86"/>
    </row>
    <row r="824">
      <c r="A824" s="13"/>
      <c r="C824" s="86"/>
    </row>
    <row r="825">
      <c r="A825" s="13"/>
      <c r="C825" s="86"/>
    </row>
    <row r="826">
      <c r="A826" s="13"/>
      <c r="C826" s="86"/>
    </row>
    <row r="827">
      <c r="A827" s="13"/>
      <c r="C827" s="86"/>
    </row>
    <row r="828">
      <c r="A828" s="13"/>
      <c r="C828" s="86"/>
    </row>
    <row r="829">
      <c r="A829" s="13"/>
      <c r="C829" s="86"/>
    </row>
    <row r="830">
      <c r="A830" s="13"/>
      <c r="C830" s="86"/>
    </row>
    <row r="831">
      <c r="A831" s="13"/>
      <c r="C831" s="86"/>
    </row>
    <row r="832">
      <c r="A832" s="13"/>
      <c r="C832" s="86"/>
    </row>
    <row r="833">
      <c r="A833" s="13"/>
      <c r="C833" s="86"/>
    </row>
    <row r="834">
      <c r="A834" s="13"/>
      <c r="C834" s="86"/>
    </row>
    <row r="835">
      <c r="A835" s="13"/>
      <c r="C835" s="86"/>
    </row>
    <row r="836">
      <c r="A836" s="13"/>
      <c r="C836" s="86"/>
    </row>
    <row r="837">
      <c r="A837" s="13"/>
      <c r="C837" s="86"/>
    </row>
    <row r="838">
      <c r="A838" s="13"/>
      <c r="C838" s="86"/>
    </row>
    <row r="839">
      <c r="A839" s="13"/>
      <c r="C839" s="86"/>
    </row>
    <row r="840">
      <c r="A840" s="13"/>
      <c r="C840" s="86"/>
    </row>
    <row r="841">
      <c r="A841" s="13"/>
      <c r="C841" s="86"/>
    </row>
    <row r="842">
      <c r="A842" s="13"/>
      <c r="C842" s="86"/>
    </row>
    <row r="843">
      <c r="A843" s="13"/>
      <c r="C843" s="86"/>
    </row>
    <row r="844">
      <c r="A844" s="13"/>
      <c r="C844" s="86"/>
    </row>
    <row r="845">
      <c r="A845" s="13"/>
      <c r="C845" s="86"/>
    </row>
    <row r="846">
      <c r="A846" s="13"/>
      <c r="C846" s="86"/>
    </row>
    <row r="847">
      <c r="A847" s="13"/>
      <c r="C847" s="86"/>
    </row>
    <row r="848">
      <c r="A848" s="13"/>
      <c r="C848" s="86"/>
    </row>
    <row r="849">
      <c r="A849" s="13"/>
      <c r="C849" s="86"/>
    </row>
    <row r="850">
      <c r="A850" s="13"/>
      <c r="C850" s="86"/>
    </row>
    <row r="851">
      <c r="A851" s="13"/>
      <c r="C851" s="86"/>
    </row>
    <row r="852">
      <c r="A852" s="13"/>
      <c r="C852" s="86"/>
    </row>
    <row r="853">
      <c r="A853" s="13"/>
      <c r="C853" s="86"/>
    </row>
    <row r="854">
      <c r="A854" s="13"/>
      <c r="C854" s="86"/>
    </row>
    <row r="855">
      <c r="A855" s="13"/>
      <c r="C855" s="86"/>
    </row>
    <row r="856">
      <c r="A856" s="13"/>
      <c r="C856" s="86"/>
    </row>
    <row r="857">
      <c r="A857" s="13"/>
      <c r="C857" s="86"/>
    </row>
    <row r="858">
      <c r="A858" s="13"/>
      <c r="C858" s="86"/>
    </row>
    <row r="859">
      <c r="A859" s="13"/>
      <c r="C859" s="86"/>
    </row>
    <row r="860">
      <c r="A860" s="13"/>
      <c r="C860" s="86"/>
    </row>
    <row r="861">
      <c r="A861" s="13"/>
      <c r="C861" s="86"/>
    </row>
    <row r="862">
      <c r="A862" s="13"/>
      <c r="C862" s="86"/>
    </row>
    <row r="863">
      <c r="A863" s="13"/>
      <c r="C863" s="86"/>
    </row>
    <row r="864">
      <c r="A864" s="13"/>
      <c r="C864" s="86"/>
    </row>
    <row r="865">
      <c r="A865" s="13"/>
      <c r="C865" s="86"/>
    </row>
    <row r="866">
      <c r="A866" s="13"/>
      <c r="C866" s="86"/>
    </row>
    <row r="867">
      <c r="A867" s="13"/>
      <c r="C867" s="86"/>
    </row>
    <row r="868">
      <c r="A868" s="13"/>
      <c r="C868" s="86"/>
    </row>
    <row r="869">
      <c r="A869" s="13"/>
      <c r="C869" s="86"/>
    </row>
    <row r="870">
      <c r="A870" s="13"/>
      <c r="C870" s="86"/>
    </row>
    <row r="871">
      <c r="A871" s="13"/>
      <c r="C871" s="86"/>
    </row>
    <row r="872">
      <c r="A872" s="13"/>
      <c r="C872" s="86"/>
    </row>
    <row r="873">
      <c r="A873" s="13"/>
      <c r="C873" s="86"/>
    </row>
    <row r="874">
      <c r="A874" s="13"/>
      <c r="C874" s="86"/>
    </row>
    <row r="875">
      <c r="A875" s="13"/>
      <c r="C875" s="86"/>
    </row>
    <row r="876">
      <c r="A876" s="13"/>
      <c r="C876" s="86"/>
    </row>
    <row r="877">
      <c r="A877" s="13"/>
      <c r="C877" s="86"/>
    </row>
    <row r="878">
      <c r="A878" s="13"/>
      <c r="C878" s="86"/>
    </row>
    <row r="879">
      <c r="A879" s="13"/>
      <c r="C879" s="86"/>
    </row>
    <row r="880">
      <c r="A880" s="13"/>
      <c r="C880" s="86"/>
    </row>
    <row r="881">
      <c r="A881" s="13"/>
      <c r="C881" s="86"/>
    </row>
    <row r="882">
      <c r="A882" s="13"/>
      <c r="C882" s="86"/>
    </row>
    <row r="883">
      <c r="A883" s="13"/>
      <c r="C883" s="86"/>
    </row>
    <row r="884">
      <c r="A884" s="13"/>
      <c r="C884" s="86"/>
    </row>
    <row r="885">
      <c r="A885" s="13"/>
      <c r="C885" s="86"/>
    </row>
    <row r="886">
      <c r="A886" s="13"/>
      <c r="C886" s="86"/>
    </row>
    <row r="887">
      <c r="A887" s="13"/>
      <c r="C887" s="86"/>
    </row>
    <row r="888">
      <c r="A888" s="13"/>
      <c r="C888" s="86"/>
    </row>
    <row r="889">
      <c r="A889" s="13"/>
      <c r="C889" s="86"/>
    </row>
    <row r="890">
      <c r="A890" s="13"/>
      <c r="C890" s="86"/>
    </row>
    <row r="891">
      <c r="A891" s="13"/>
      <c r="C891" s="86"/>
    </row>
    <row r="892">
      <c r="A892" s="13"/>
      <c r="C892" s="86"/>
    </row>
    <row r="893">
      <c r="A893" s="13"/>
      <c r="C893" s="86"/>
    </row>
    <row r="894">
      <c r="A894" s="13"/>
      <c r="C894" s="86"/>
    </row>
    <row r="895">
      <c r="A895" s="13"/>
      <c r="C895" s="86"/>
    </row>
    <row r="896">
      <c r="A896" s="13"/>
      <c r="C896" s="86"/>
    </row>
    <row r="897">
      <c r="A897" s="13"/>
      <c r="C897" s="86"/>
    </row>
    <row r="898">
      <c r="A898" s="13"/>
      <c r="C898" s="86"/>
    </row>
    <row r="899">
      <c r="A899" s="13"/>
      <c r="C899" s="86"/>
    </row>
    <row r="900">
      <c r="A900" s="13"/>
      <c r="C900" s="86"/>
    </row>
    <row r="901">
      <c r="A901" s="13"/>
      <c r="C901" s="86"/>
    </row>
    <row r="902">
      <c r="A902" s="13"/>
      <c r="C902" s="86"/>
    </row>
    <row r="903">
      <c r="A903" s="13"/>
      <c r="C903" s="86"/>
    </row>
    <row r="904">
      <c r="A904" s="13"/>
      <c r="C904" s="86"/>
    </row>
    <row r="905">
      <c r="A905" s="13"/>
      <c r="C905" s="86"/>
    </row>
    <row r="906">
      <c r="A906" s="13"/>
      <c r="C906" s="86"/>
    </row>
    <row r="907">
      <c r="A907" s="13"/>
      <c r="C907" s="86"/>
    </row>
    <row r="908">
      <c r="A908" s="13"/>
      <c r="C908" s="86"/>
    </row>
    <row r="909">
      <c r="A909" s="13"/>
      <c r="C909" s="86"/>
    </row>
    <row r="910">
      <c r="A910" s="13"/>
      <c r="C910" s="86"/>
    </row>
    <row r="911">
      <c r="A911" s="13"/>
      <c r="C911" s="86"/>
    </row>
    <row r="912">
      <c r="A912" s="13"/>
      <c r="C912" s="86"/>
    </row>
    <row r="913">
      <c r="A913" s="13"/>
      <c r="C913" s="86"/>
    </row>
    <row r="914">
      <c r="A914" s="13"/>
      <c r="C914" s="86"/>
    </row>
    <row r="915">
      <c r="A915" s="13"/>
      <c r="C915" s="86"/>
    </row>
    <row r="916">
      <c r="A916" s="13"/>
      <c r="C916" s="86"/>
    </row>
    <row r="917">
      <c r="A917" s="13"/>
      <c r="C917" s="86"/>
    </row>
    <row r="918">
      <c r="A918" s="13"/>
      <c r="C918" s="86"/>
    </row>
    <row r="919">
      <c r="A919" s="13"/>
      <c r="C919" s="86"/>
    </row>
    <row r="920">
      <c r="A920" s="13"/>
      <c r="C920" s="86"/>
    </row>
    <row r="921">
      <c r="A921" s="13"/>
      <c r="C921" s="86"/>
    </row>
    <row r="922">
      <c r="A922" s="13"/>
      <c r="C922" s="86"/>
    </row>
    <row r="923">
      <c r="A923" s="13"/>
      <c r="C923" s="86"/>
    </row>
    <row r="924">
      <c r="A924" s="13"/>
      <c r="C924" s="86"/>
    </row>
    <row r="925">
      <c r="A925" s="13"/>
      <c r="C925" s="86"/>
    </row>
    <row r="926">
      <c r="A926" s="13"/>
      <c r="C926" s="86"/>
    </row>
    <row r="927">
      <c r="A927" s="13"/>
      <c r="C927" s="86"/>
    </row>
    <row r="928">
      <c r="A928" s="13"/>
      <c r="C928" s="86"/>
    </row>
    <row r="929">
      <c r="A929" s="13"/>
      <c r="C929" s="86"/>
    </row>
    <row r="930">
      <c r="A930" s="13"/>
      <c r="C930" s="86"/>
    </row>
    <row r="931">
      <c r="A931" s="13"/>
      <c r="C931" s="86"/>
    </row>
    <row r="932">
      <c r="A932" s="13"/>
      <c r="C932" s="86"/>
    </row>
    <row r="933">
      <c r="A933" s="13"/>
      <c r="C933" s="86"/>
    </row>
    <row r="934">
      <c r="A934" s="13"/>
      <c r="C934" s="86"/>
    </row>
    <row r="935">
      <c r="A935" s="13"/>
      <c r="C935" s="86"/>
    </row>
    <row r="936">
      <c r="A936" s="13"/>
      <c r="C936" s="86"/>
    </row>
    <row r="937">
      <c r="A937" s="13"/>
      <c r="C937" s="86"/>
    </row>
    <row r="938">
      <c r="A938" s="13"/>
      <c r="C938" s="86"/>
    </row>
    <row r="939">
      <c r="A939" s="13"/>
      <c r="C939" s="86"/>
    </row>
    <row r="940">
      <c r="A940" s="13"/>
      <c r="C940" s="86"/>
    </row>
    <row r="941">
      <c r="A941" s="13"/>
      <c r="C941" s="86"/>
    </row>
    <row r="942">
      <c r="A942" s="13"/>
      <c r="C942" s="86"/>
    </row>
    <row r="943">
      <c r="A943" s="13"/>
      <c r="C943" s="86"/>
    </row>
    <row r="944">
      <c r="A944" s="13"/>
      <c r="C944" s="86"/>
    </row>
    <row r="945">
      <c r="A945" s="13"/>
      <c r="C945" s="86"/>
    </row>
    <row r="946">
      <c r="A946" s="13"/>
      <c r="C946" s="86"/>
    </row>
    <row r="947">
      <c r="A947" s="13"/>
      <c r="C947" s="86"/>
    </row>
    <row r="948">
      <c r="A948" s="13"/>
      <c r="C948" s="86"/>
    </row>
    <row r="949">
      <c r="A949" s="13"/>
      <c r="C949" s="86"/>
    </row>
    <row r="950">
      <c r="A950" s="13"/>
      <c r="C950" s="86"/>
    </row>
    <row r="951">
      <c r="A951" s="13"/>
      <c r="C951" s="86"/>
    </row>
    <row r="952">
      <c r="A952" s="13"/>
      <c r="C952" s="86"/>
    </row>
    <row r="953">
      <c r="A953" s="13"/>
      <c r="C953" s="86"/>
    </row>
    <row r="954">
      <c r="A954" s="13"/>
      <c r="C954" s="86"/>
    </row>
    <row r="955">
      <c r="A955" s="13"/>
      <c r="C955" s="86"/>
    </row>
    <row r="956">
      <c r="A956" s="13"/>
      <c r="C956" s="86"/>
    </row>
    <row r="957">
      <c r="A957" s="13"/>
      <c r="C957" s="86"/>
    </row>
    <row r="958">
      <c r="A958" s="13"/>
      <c r="C958" s="86"/>
    </row>
    <row r="959">
      <c r="A959" s="13"/>
      <c r="C959" s="86"/>
    </row>
    <row r="960">
      <c r="A960" s="13"/>
      <c r="C960" s="86"/>
    </row>
    <row r="961">
      <c r="A961" s="13"/>
      <c r="C961" s="86"/>
    </row>
    <row r="962">
      <c r="A962" s="13"/>
      <c r="C962" s="86"/>
    </row>
    <row r="963">
      <c r="A963" s="13"/>
      <c r="C963" s="86"/>
    </row>
    <row r="964">
      <c r="A964" s="13"/>
      <c r="C964" s="86"/>
    </row>
    <row r="965">
      <c r="A965" s="13"/>
      <c r="C965" s="86"/>
    </row>
    <row r="966">
      <c r="A966" s="13"/>
      <c r="C966" s="86"/>
    </row>
    <row r="967">
      <c r="A967" s="13"/>
      <c r="C967" s="86"/>
    </row>
    <row r="968">
      <c r="A968" s="13"/>
      <c r="C968" s="86"/>
    </row>
    <row r="969">
      <c r="A969" s="13"/>
      <c r="C969" s="86"/>
    </row>
    <row r="970">
      <c r="A970" s="13"/>
      <c r="C970" s="86"/>
    </row>
    <row r="971">
      <c r="A971" s="13"/>
      <c r="C971" s="86"/>
    </row>
    <row r="972">
      <c r="A972" s="13"/>
      <c r="C972" s="86"/>
    </row>
    <row r="973">
      <c r="A973" s="13"/>
      <c r="C973" s="86"/>
    </row>
    <row r="974">
      <c r="A974" s="13"/>
      <c r="C974" s="86"/>
    </row>
    <row r="975">
      <c r="A975" s="13"/>
      <c r="C975" s="86"/>
    </row>
    <row r="976">
      <c r="A976" s="13"/>
      <c r="C976" s="86"/>
    </row>
    <row r="977">
      <c r="A977" s="13"/>
      <c r="C977" s="86"/>
    </row>
    <row r="978">
      <c r="A978" s="13"/>
      <c r="C978" s="86"/>
    </row>
    <row r="979">
      <c r="A979" s="13"/>
      <c r="C979" s="86"/>
    </row>
    <row r="980">
      <c r="A980" s="13"/>
      <c r="C980" s="86"/>
    </row>
    <row r="981">
      <c r="A981" s="13"/>
      <c r="C981" s="86"/>
    </row>
    <row r="982">
      <c r="A982" s="13"/>
      <c r="C982" s="86"/>
    </row>
    <row r="983">
      <c r="A983" s="13"/>
      <c r="C983" s="86"/>
    </row>
    <row r="984">
      <c r="A984" s="13"/>
      <c r="C984" s="86"/>
    </row>
    <row r="985">
      <c r="A985" s="13"/>
      <c r="C985" s="86"/>
    </row>
    <row r="986">
      <c r="A986" s="13"/>
      <c r="C986" s="86"/>
    </row>
    <row r="987">
      <c r="A987" s="13"/>
      <c r="C987" s="86"/>
    </row>
    <row r="988">
      <c r="A988" s="13"/>
      <c r="C988" s="86"/>
    </row>
    <row r="989">
      <c r="A989" s="13"/>
      <c r="C989" s="86"/>
    </row>
    <row r="990">
      <c r="A990" s="13"/>
      <c r="C990" s="86"/>
    </row>
    <row r="991">
      <c r="A991" s="13"/>
      <c r="C991" s="86"/>
    </row>
    <row r="992">
      <c r="A992" s="13"/>
      <c r="C992" s="86"/>
    </row>
    <row r="993">
      <c r="A993" s="13"/>
      <c r="C993" s="86"/>
    </row>
    <row r="994">
      <c r="A994" s="13"/>
      <c r="C994" s="86"/>
    </row>
    <row r="995">
      <c r="A995" s="13"/>
      <c r="C995" s="86"/>
    </row>
    <row r="996">
      <c r="A996" s="13"/>
      <c r="C996" s="86"/>
    </row>
    <row r="997">
      <c r="A997" s="13"/>
      <c r="C997" s="86"/>
    </row>
    <row r="998">
      <c r="A998" s="13"/>
      <c r="C998" s="86"/>
    </row>
    <row r="999">
      <c r="A999" s="13"/>
      <c r="C999" s="86"/>
    </row>
    <row r="1000">
      <c r="A1000" s="13"/>
      <c r="C1000" s="86"/>
    </row>
    <row r="1001">
      <c r="A1001" s="13"/>
      <c r="C1001" s="86"/>
    </row>
  </sheetData>
  <mergeCells count="3">
    <mergeCell ref="G5:H5"/>
    <mergeCell ref="G7:H7"/>
    <mergeCell ref="G14:I14"/>
  </mergeCells>
  <drawing r:id="rId1"/>
</worksheet>
</file>