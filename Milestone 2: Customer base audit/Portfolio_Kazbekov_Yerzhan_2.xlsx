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 Analysis" sheetId="1" r:id="rId5"/>
    <sheet state="visible" name="Cohort Analysis" sheetId="2" r:id="rId6"/>
    <sheet state="visible" name="3 cohort analysis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<sst xmlns="http://schemas.openxmlformats.org/spreadsheetml/2006/main" count="145" uniqueCount="44">
  <si>
    <t>Decile</t>
  </si>
  <si>
    <t xml:space="preserve">Customers </t>
  </si>
  <si>
    <t>Total Transactions</t>
  </si>
  <si>
    <t>Revenue</t>
  </si>
  <si>
    <t>Profit</t>
  </si>
  <si>
    <t>Customers</t>
  </si>
  <si>
    <t>Transcations</t>
  </si>
  <si>
    <t>Average revenue per customer</t>
  </si>
  <si>
    <t>Average profit per customer</t>
  </si>
  <si>
    <t>AOF AVerage order frequency</t>
  </si>
  <si>
    <t>Order Value</t>
  </si>
  <si>
    <t>Average Margin</t>
  </si>
  <si>
    <t>% from Total Profit</t>
  </si>
  <si>
    <t>% from Total Revenue</t>
  </si>
  <si>
    <t>TOTAL</t>
  </si>
  <si>
    <t>SUM of Profit</t>
  </si>
  <si>
    <t>Grand Total</t>
  </si>
  <si>
    <t>Quarter</t>
  </si>
  <si>
    <t># Customers</t>
  </si>
  <si>
    <t>% active</t>
  </si>
  <si>
    <t>Cumulative Attrition rate</t>
  </si>
  <si>
    <t>Avg spend/active customer</t>
  </si>
  <si>
    <t>AOF</t>
  </si>
  <si>
    <t>AOV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</si>
  <si>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</si>
  <si>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</si>
  <si>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</si>
  <si>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</si>
  <si>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</si>
  <si>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</si>
  <si>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</si>
  <si>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</si>
  <si>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</si>
  <si>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</si>
  <si>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</si>
  <si>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</si>
  <si>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</si>
  <si>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</si>
  <si>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</si>
  <si>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</si>
  <si>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</si>
  <si>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</si>
  <si>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</si>
  <si>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Combine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</si>
</sst>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"/>
    <numFmt numFmtId="165" formatCode="0.0"/>
    <numFmt numFmtId="166" formatCode="[$$]#,##0.00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b/>
      <sz val="11.0"/>
      <color rgb="FFC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</fills>
  <borders count="15">
    <border/>
    <border>
      <left/>
      <right/>
      <top/>
      <bottom/>
    </border>
    <border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double">
        <color rgb="FF000000"/>
      </bottom>
    </border>
    <border>
      <bottom style="double">
        <color rgb="FF000000"/>
      </bottom>
    </border>
    <border>
      <left/>
      <top/>
      <bottom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/>
      <top/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horizontal="right" shrinkToFit="0" vertical="bottom" wrapText="1"/>
    </xf>
    <xf borderId="0" fillId="2" fontId="2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3" fontId="4" numFmtId="3" xfId="0" applyAlignment="1" applyFill="1" applyFont="1" applyNumberFormat="1">
      <alignment horizontal="right" vertical="bottom"/>
    </xf>
    <xf borderId="0" fillId="0" fontId="3" numFmtId="10" xfId="0" applyFont="1" applyNumberFormat="1"/>
    <xf borderId="0" fillId="3" fontId="3" numFmtId="4" xfId="0" applyFont="1" applyNumberFormat="1"/>
    <xf borderId="0" fillId="3" fontId="3" numFmtId="164" xfId="0" applyFont="1" applyNumberFormat="1"/>
    <xf borderId="0" fillId="3" fontId="3" numFmtId="9" xfId="0" applyFont="1" applyNumberFormat="1"/>
    <xf borderId="0" fillId="3" fontId="5" numFmtId="10" xfId="0" applyFont="1" applyNumberFormat="1"/>
    <xf borderId="0" fillId="0" fontId="3" numFmtId="0" xfId="0" applyFont="1"/>
    <xf borderId="0" fillId="0" fontId="3" numFmtId="3" xfId="0" applyFont="1" applyNumberFormat="1"/>
    <xf borderId="1" fillId="4" fontId="4" numFmtId="0" xfId="0" applyAlignment="1" applyBorder="1" applyFill="1" applyFont="1">
      <alignment horizontal="right" shrinkToFit="0" vertical="bottom" wrapText="1"/>
    </xf>
    <xf borderId="2" fillId="2" fontId="1" numFmtId="0" xfId="0" applyAlignment="1" applyBorder="1" applyFont="1">
      <alignment horizontal="right" vertical="bottom"/>
    </xf>
    <xf borderId="2" fillId="2" fontId="1" numFmtId="0" xfId="0" applyAlignment="1" applyBorder="1" applyFont="1">
      <alignment vertical="bottom"/>
    </xf>
    <xf borderId="3" fillId="4" fontId="4" numFmtId="0" xfId="0" applyAlignment="1" applyBorder="1" applyFont="1">
      <alignment horizontal="right" vertical="bottom"/>
    </xf>
    <xf borderId="3" fillId="4" fontId="4" numFmtId="3" xfId="0" applyAlignment="1" applyBorder="1" applyFont="1" applyNumberFormat="1">
      <alignment horizontal="right" vertical="bottom"/>
    </xf>
    <xf borderId="0" fillId="2" fontId="1" numFmtId="10" xfId="0" applyAlignment="1" applyFont="1" applyNumberFormat="1">
      <alignment horizontal="right" vertical="bottom"/>
    </xf>
    <xf borderId="0" fillId="2" fontId="1" numFmtId="0" xfId="0" applyAlignment="1" applyFont="1">
      <alignment vertical="bottom"/>
    </xf>
    <xf borderId="0" fillId="2" fontId="1" numFmtId="1" xfId="0" applyAlignment="1" applyFont="1" applyNumberFormat="1">
      <alignment horizontal="right" vertical="bottom"/>
    </xf>
    <xf borderId="0" fillId="2" fontId="1" numFmtId="165" xfId="0" applyAlignment="1" applyFont="1" applyNumberFormat="1">
      <alignment horizontal="right" vertical="bottom"/>
    </xf>
    <xf borderId="1" fillId="4" fontId="4" numFmtId="0" xfId="0" applyAlignment="1" applyBorder="1" applyFont="1">
      <alignment horizontal="right" vertical="bottom"/>
    </xf>
    <xf borderId="1" fillId="4" fontId="4" numFmtId="3" xfId="0" applyAlignment="1" applyBorder="1" applyFont="1" applyNumberFormat="1">
      <alignment horizontal="right" vertical="bottom"/>
    </xf>
    <xf borderId="4" fillId="4" fontId="4" numFmtId="0" xfId="0" applyAlignment="1" applyBorder="1" applyFont="1">
      <alignment horizontal="right" vertical="bottom"/>
    </xf>
    <xf borderId="4" fillId="4" fontId="4" numFmtId="3" xfId="0" applyAlignment="1" applyBorder="1" applyFont="1" applyNumberFormat="1">
      <alignment horizontal="right" vertical="bottom"/>
    </xf>
    <xf borderId="5" fillId="2" fontId="1" numFmtId="10" xfId="0" applyAlignment="1" applyBorder="1" applyFont="1" applyNumberFormat="1">
      <alignment horizontal="right" vertical="bottom"/>
    </xf>
    <xf borderId="5" fillId="2" fontId="1" numFmtId="1" xfId="0" applyAlignment="1" applyBorder="1" applyFont="1" applyNumberFormat="1">
      <alignment horizontal="right" vertical="bottom"/>
    </xf>
    <xf borderId="5" fillId="2" fontId="1" numFmtId="165" xfId="0" applyAlignment="1" applyBorder="1" applyFont="1" applyNumberFormat="1">
      <alignment horizontal="right" vertical="bottom"/>
    </xf>
    <xf borderId="0" fillId="0" fontId="6" numFmtId="0" xfId="0" applyAlignment="1" applyFont="1">
      <alignment horizontal="center" vertical="bottom"/>
    </xf>
    <xf borderId="0" fillId="0" fontId="1" numFmtId="4" xfId="0" applyAlignment="1" applyFont="1" applyNumberFormat="1">
      <alignment vertical="bottom"/>
    </xf>
    <xf borderId="1" fillId="4" fontId="4" numFmtId="4" xfId="0" applyAlignment="1" applyBorder="1" applyFont="1" applyNumberFormat="1">
      <alignment horizontal="right" shrinkToFit="0" vertical="bottom" wrapText="1"/>
    </xf>
    <xf borderId="1" fillId="4" fontId="4" numFmtId="4" xfId="0" applyAlignment="1" applyBorder="1" applyFont="1" applyNumberFormat="1">
      <alignment horizontal="right" vertical="bottom"/>
    </xf>
    <xf borderId="0" fillId="2" fontId="1" numFmtId="9" xfId="0" applyAlignment="1" applyFont="1" applyNumberFormat="1">
      <alignment horizontal="right" vertical="bottom"/>
    </xf>
    <xf borderId="1" fillId="4" fontId="1" numFmtId="0" xfId="0" applyAlignment="1" applyBorder="1" applyFont="1">
      <alignment vertical="bottom"/>
    </xf>
    <xf borderId="1" fillId="4" fontId="1" numFmtId="3" xfId="0" applyAlignment="1" applyBorder="1" applyFont="1" applyNumberFormat="1">
      <alignment vertical="bottom"/>
    </xf>
    <xf borderId="0" fillId="2" fontId="1" numFmtId="10" xfId="0" applyAlignment="1" applyFont="1" applyNumberFormat="1">
      <alignment vertical="bottom"/>
    </xf>
    <xf borderId="0" fillId="2" fontId="1" numFmtId="1" xfId="0" applyAlignment="1" applyFont="1" applyNumberFormat="1">
      <alignment vertical="bottom"/>
    </xf>
    <xf borderId="0" fillId="2" fontId="1" numFmtId="165" xfId="0" applyAlignment="1" applyFont="1" applyNumberFormat="1">
      <alignment vertical="bottom"/>
    </xf>
    <xf borderId="4" fillId="4" fontId="4" numFmtId="4" xfId="0" applyAlignment="1" applyBorder="1" applyFont="1" applyNumberFormat="1">
      <alignment horizontal="right" vertical="bottom"/>
    </xf>
    <xf borderId="5" fillId="2" fontId="1" numFmtId="9" xfId="0" applyAlignment="1" applyBorder="1" applyFont="1" applyNumberFormat="1">
      <alignment horizontal="right" vertical="bottom"/>
    </xf>
    <xf borderId="0" fillId="4" fontId="2" numFmtId="0" xfId="0" applyAlignment="1" applyFont="1">
      <alignment vertical="bottom"/>
    </xf>
    <xf borderId="0" fillId="4" fontId="2" numFmtId="166" xfId="0" applyAlignment="1" applyFont="1" applyNumberFormat="1">
      <alignment vertical="bottom"/>
    </xf>
    <xf borderId="6" fillId="4" fontId="4" numFmtId="0" xfId="0" applyAlignment="1" applyBorder="1" applyFont="1">
      <alignment horizontal="right" shrinkToFit="0" vertical="bottom" wrapText="1"/>
    </xf>
    <xf borderId="7" fillId="4" fontId="6" numFmtId="0" xfId="0" applyAlignment="1" applyBorder="1" applyFont="1">
      <alignment horizontal="center" vertical="bottom"/>
    </xf>
    <xf borderId="8" fillId="4" fontId="6" numFmtId="0" xfId="0" applyAlignment="1" applyBorder="1" applyFont="1">
      <alignment horizontal="center" vertical="bottom"/>
    </xf>
    <xf borderId="9" fillId="4" fontId="6" numFmtId="0" xfId="0" applyAlignment="1" applyBorder="1" applyFont="1">
      <alignment horizontal="center" vertical="bottom"/>
    </xf>
    <xf borderId="6" fillId="4" fontId="4" numFmtId="0" xfId="0" applyAlignment="1" applyBorder="1" applyFont="1">
      <alignment horizontal="right" vertical="bottom"/>
    </xf>
    <xf borderId="10" fillId="2" fontId="1" numFmtId="9" xfId="0" applyAlignment="1" applyBorder="1" applyFont="1" applyNumberFormat="1">
      <alignment horizontal="right" vertical="bottom"/>
    </xf>
    <xf borderId="11" fillId="2" fontId="1" numFmtId="9" xfId="0" applyAlignment="1" applyBorder="1" applyFont="1" applyNumberFormat="1">
      <alignment vertical="bottom"/>
    </xf>
    <xf borderId="10" fillId="2" fontId="1" numFmtId="1" xfId="0" applyAlignment="1" applyBorder="1" applyFont="1" applyNumberFormat="1">
      <alignment horizontal="right" vertical="bottom"/>
    </xf>
    <xf borderId="11" fillId="2" fontId="1" numFmtId="1" xfId="0" applyAlignment="1" applyBorder="1" applyFont="1" applyNumberFormat="1">
      <alignment vertical="bottom"/>
    </xf>
    <xf borderId="10" fillId="2" fontId="1" numFmtId="165" xfId="0" applyAlignment="1" applyBorder="1" applyFont="1" applyNumberFormat="1">
      <alignment horizontal="right" vertical="bottom"/>
    </xf>
    <xf borderId="11" fillId="2" fontId="1" numFmtId="165" xfId="0" applyAlignment="1" applyBorder="1" applyFont="1" applyNumberFormat="1">
      <alignment vertical="bottom"/>
    </xf>
    <xf borderId="11" fillId="2" fontId="1" numFmtId="9" xfId="0" applyAlignment="1" applyBorder="1" applyFont="1" applyNumberFormat="1">
      <alignment horizontal="right" vertical="bottom"/>
    </xf>
    <xf borderId="11" fillId="2" fontId="1" numFmtId="1" xfId="0" applyAlignment="1" applyBorder="1" applyFont="1" applyNumberFormat="1">
      <alignment horizontal="right" vertical="bottom"/>
    </xf>
    <xf borderId="11" fillId="2" fontId="1" numFmtId="165" xfId="0" applyAlignment="1" applyBorder="1" applyFont="1" applyNumberFormat="1">
      <alignment horizontal="right" vertical="bottom"/>
    </xf>
    <xf borderId="12" fillId="4" fontId="4" numFmtId="0" xfId="0" applyAlignment="1" applyBorder="1" applyFont="1">
      <alignment horizontal="right" vertical="bottom"/>
    </xf>
    <xf borderId="13" fillId="2" fontId="1" numFmtId="9" xfId="0" applyAlignment="1" applyBorder="1" applyFont="1" applyNumberFormat="1">
      <alignment horizontal="right" vertical="bottom"/>
    </xf>
    <xf borderId="14" fillId="2" fontId="1" numFmtId="9" xfId="0" applyAlignment="1" applyBorder="1" applyFont="1" applyNumberFormat="1">
      <alignment horizontal="right" vertical="bottom"/>
    </xf>
    <xf borderId="13" fillId="2" fontId="1" numFmtId="1" xfId="0" applyAlignment="1" applyBorder="1" applyFont="1" applyNumberFormat="1">
      <alignment horizontal="right" vertical="bottom"/>
    </xf>
    <xf borderId="14" fillId="2" fontId="1" numFmtId="1" xfId="0" applyAlignment="1" applyBorder="1" applyFont="1" applyNumberFormat="1">
      <alignment horizontal="right" vertical="bottom"/>
    </xf>
    <xf borderId="13" fillId="2" fontId="1" numFmtId="165" xfId="0" applyAlignment="1" applyBorder="1" applyFont="1" applyNumberFormat="1">
      <alignment horizontal="right" vertical="bottom"/>
    </xf>
    <xf borderId="14" fillId="2" fontId="1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Profit and SUM of Profit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'Decile Analysis'!$B$18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'Decile Analysis'!$A$19:$A$28</c:f>
            </c:strRef>
          </c:cat>
          <c:val>
            <c:numRef>
              <c:f>'Decile Analysis'!$B$19:$B$28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'Cohort Analysis'!$F$1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Analysis'!$A$2:$A$17</c:f>
            </c:strRef>
          </c:cat>
          <c:val>
            <c:numRef>
              <c:f>'Cohort Analysis'!$F$2:$F$17</c:f>
              <c:numCache/>
            </c:numRef>
          </c:val>
          <c:smooth val="0"/>
        </c:ser>
        <c:axId val="625828486"/>
        <c:axId val="933090275"/>
      </c:lineChart>
      <c:catAx>
        <c:axId val="625828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090275"/>
      </c:catAx>
      <c:valAx>
        <c:axId val="9330902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8284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16</xdr:row>
      <xdr:rowOff>161925</xdr:rowOff>
    </xdr:from>
    <xdr:ext cx="4105275" cy="25431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76200</xdr:colOff>
      <xdr:row>0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1" sheet="Decile Analysis"/>
  </cacheSource>
  <cacheFields>
    <cacheField name="Decil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</sharedItems>
    </cacheField>
    <cacheField name="Customers " numFmtId="3">
      <sharedItems containsSemiMixedTypes="0" containsString="0" containsNumber="1" containsInteger="1">
        <n v="3180.0"/>
        <n v="3177.0"/>
        <n v="3178.0"/>
        <n v="3183.0"/>
        <n v="3124.0"/>
        <n v="3233.0"/>
        <n v="2996.0"/>
        <n v="3360.0"/>
        <n v="3186.0"/>
      </sharedItems>
    </cacheField>
    <cacheField name="Total Transactions" numFmtId="3">
      <sharedItems containsSemiMixedTypes="0" containsString="0" containsNumber="1" containsInteger="1">
        <n v="17503.0"/>
        <n v="8703.0"/>
        <n v="6345.0"/>
        <n v="5349.0"/>
        <n v="4683.0"/>
        <n v="4330.0"/>
        <n v="4004.0"/>
        <n v="3414.0"/>
        <n v="3659.0"/>
        <n v="3270.0"/>
      </sharedItems>
    </cacheField>
    <cacheField name="Revenue" numFmtId="3">
      <sharedItems containsSemiMixedTypes="0" containsString="0" containsNumber="1" containsInteger="1">
        <n v="1.28952505E8"/>
        <n v="5.5542905E7"/>
        <n v="3.8274225E7"/>
        <n v="2.901701E7"/>
        <n v="2.2555225E7"/>
        <n v="1.7169955E7"/>
        <n v="1.347071E7"/>
        <n v="9381075.0"/>
        <n v="7496500.0"/>
        <n v="3740550.0"/>
      </sharedItems>
    </cacheField>
    <cacheField name="Profit" numFmtId="3">
      <sharedItems containsSemiMixedTypes="0" containsString="0" containsNumber="1" containsInteger="1">
        <n v="6.2160175E7"/>
        <n v="2.707903E7"/>
        <n v="1.8722055E7"/>
        <n v="1.3916595E7"/>
        <n v="1.0734405E7"/>
        <n v="7948270.0"/>
        <n v="6240025.0"/>
        <n v="4326685.0"/>
        <n v="3334100.0"/>
        <n v="155479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ecile Analysis" cacheId="0" dataCaption="" compact="0" compactData="0">
  <location ref="A18:C29" firstHeaderRow="0" firstDataRow="2" firstDataCol="0"/>
  <pivotFields>
    <pivotField name="Decil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ustomers 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Transact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-2"/>
  </colFields>
  <dataFields>
    <dataField name="SUM of Profit" fld="4" baseField="0"/>
    <dataField name="SUM of Profit" fld="4" showDataAs="percentOfCo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10" max="10" width="9.88"/>
    <col customWidth="1" min="11" max="11" width="11.38"/>
    <col customWidth="1" min="12" max="12" width="12.63"/>
    <col customWidth="1" min="13" max="13" width="9.88"/>
    <col customWidth="1" min="14" max="14" width="12.75"/>
    <col customWidth="1" min="15" max="15" width="15.75"/>
    <col customWidth="1" min="16" max="16" width="18.38"/>
  </cols>
  <sheetData>
    <row r="1" ht="4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4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12</v>
      </c>
      <c r="P1" s="3" t="s">
        <v>13</v>
      </c>
      <c r="Q1" s="4"/>
    </row>
    <row r="2">
      <c r="A2" s="5">
        <v>1.0</v>
      </c>
      <c r="B2" s="6">
        <v>3180.0</v>
      </c>
      <c r="C2" s="6">
        <v>17503.0</v>
      </c>
      <c r="D2" s="6">
        <v>1.28952505E8</v>
      </c>
      <c r="E2" s="6">
        <v>6.2160175E7</v>
      </c>
      <c r="F2" s="7">
        <f t="shared" ref="F2:I2" si="1">B2/B$12</f>
        <v>0.1000094349</v>
      </c>
      <c r="G2" s="7">
        <f t="shared" si="1"/>
        <v>0.2857166177</v>
      </c>
      <c r="H2" s="7">
        <f t="shared" si="1"/>
        <v>0.3960449742</v>
      </c>
      <c r="I2" s="7">
        <f t="shared" si="1"/>
        <v>0.3984214517</v>
      </c>
      <c r="J2" s="8">
        <f t="shared" ref="J2:J12" si="4">D2/B2</f>
        <v>40551.1022</v>
      </c>
      <c r="K2" s="8">
        <f t="shared" ref="K2:K12" si="5">E2/B2</f>
        <v>19547.22484</v>
      </c>
      <c r="L2" s="8">
        <f t="shared" ref="L2:N2" si="2">C2/B2</f>
        <v>5.50408805</v>
      </c>
      <c r="M2" s="9">
        <f t="shared" si="2"/>
        <v>7367.45158</v>
      </c>
      <c r="N2" s="10">
        <f t="shared" si="2"/>
        <v>0.4820392981</v>
      </c>
      <c r="O2" s="11">
        <f>sum(I2:I5)</f>
        <v>0.7811875035</v>
      </c>
      <c r="P2" s="11">
        <f>sum(H2:H5)</f>
        <v>0.7732989393</v>
      </c>
    </row>
    <row r="3">
      <c r="A3" s="5">
        <v>2.0</v>
      </c>
      <c r="B3" s="6">
        <v>3180.0</v>
      </c>
      <c r="C3" s="6">
        <v>8703.0</v>
      </c>
      <c r="D3" s="6">
        <v>5.5542905E7</v>
      </c>
      <c r="E3" s="6">
        <v>2.707903E7</v>
      </c>
      <c r="F3" s="7">
        <f t="shared" ref="F3:I3" si="3">B3/B$12</f>
        <v>0.1000094349</v>
      </c>
      <c r="G3" s="7">
        <f t="shared" si="3"/>
        <v>0.1420666014</v>
      </c>
      <c r="H3" s="7">
        <f t="shared" si="3"/>
        <v>0.1705859718</v>
      </c>
      <c r="I3" s="7">
        <f t="shared" si="3"/>
        <v>0.1735655738</v>
      </c>
      <c r="J3" s="8">
        <f t="shared" si="4"/>
        <v>17466.32233</v>
      </c>
      <c r="K3" s="8">
        <f t="shared" si="5"/>
        <v>8515.418239</v>
      </c>
      <c r="L3" s="8">
        <f t="shared" ref="L3:N3" si="6">C3/B3</f>
        <v>2.736792453</v>
      </c>
      <c r="M3" s="9">
        <f t="shared" si="6"/>
        <v>6382.04125</v>
      </c>
      <c r="N3" s="10">
        <f t="shared" si="6"/>
        <v>0.4875335563</v>
      </c>
    </row>
    <row r="4">
      <c r="A4" s="5">
        <v>3.0</v>
      </c>
      <c r="B4" s="6">
        <v>3177.0</v>
      </c>
      <c r="C4" s="6">
        <v>6345.0</v>
      </c>
      <c r="D4" s="6">
        <v>3.8274225E7</v>
      </c>
      <c r="E4" s="6">
        <v>1.8722055E7</v>
      </c>
      <c r="F4" s="7">
        <f t="shared" ref="F4:I4" si="7">B4/B$12</f>
        <v>0.09991508633</v>
      </c>
      <c r="G4" s="7">
        <f t="shared" si="7"/>
        <v>0.1035749265</v>
      </c>
      <c r="H4" s="7">
        <f t="shared" si="7"/>
        <v>0.1175495928</v>
      </c>
      <c r="I4" s="7">
        <f t="shared" si="7"/>
        <v>0.1200007615</v>
      </c>
      <c r="J4" s="8">
        <f t="shared" si="4"/>
        <v>12047.28517</v>
      </c>
      <c r="K4" s="8">
        <f t="shared" si="5"/>
        <v>5892.998111</v>
      </c>
      <c r="L4" s="8">
        <f t="shared" ref="L4:N4" si="8">C4/B4</f>
        <v>1.997167139</v>
      </c>
      <c r="M4" s="9">
        <f t="shared" si="8"/>
        <v>6032.186761</v>
      </c>
      <c r="N4" s="10">
        <f t="shared" si="8"/>
        <v>0.4891556916</v>
      </c>
    </row>
    <row r="5">
      <c r="A5" s="5">
        <v>4.0</v>
      </c>
      <c r="B5" s="6">
        <v>3178.0</v>
      </c>
      <c r="C5" s="6">
        <v>5349.0</v>
      </c>
      <c r="D5" s="6">
        <v>2.901701E7</v>
      </c>
      <c r="E5" s="6">
        <v>1.3916595E7</v>
      </c>
      <c r="F5" s="7">
        <f t="shared" ref="F5:I5" si="9">B5/B$12</f>
        <v>0.09994653584</v>
      </c>
      <c r="G5" s="7">
        <f t="shared" si="9"/>
        <v>0.08731635651</v>
      </c>
      <c r="H5" s="7">
        <f t="shared" si="9"/>
        <v>0.08911840044</v>
      </c>
      <c r="I5" s="7">
        <f t="shared" si="9"/>
        <v>0.08919971643</v>
      </c>
      <c r="J5" s="8">
        <f t="shared" si="4"/>
        <v>9130.58842</v>
      </c>
      <c r="K5" s="8">
        <f t="shared" si="5"/>
        <v>4379.04185</v>
      </c>
      <c r="L5" s="8">
        <f t="shared" ref="L5:N5" si="10">C5/B5</f>
        <v>1.683134047</v>
      </c>
      <c r="M5" s="9">
        <f t="shared" si="10"/>
        <v>5424.75416</v>
      </c>
      <c r="N5" s="10">
        <f t="shared" si="10"/>
        <v>0.4796012753</v>
      </c>
    </row>
    <row r="6">
      <c r="A6" s="5">
        <v>5.0</v>
      </c>
      <c r="B6" s="6">
        <v>3183.0</v>
      </c>
      <c r="C6" s="6">
        <v>4683.0</v>
      </c>
      <c r="D6" s="6">
        <v>2.2555225E7</v>
      </c>
      <c r="E6" s="6">
        <v>1.0734405E7</v>
      </c>
      <c r="F6" s="7">
        <f t="shared" ref="F6:I6" si="11">B6/B$12</f>
        <v>0.1001037834</v>
      </c>
      <c r="G6" s="7">
        <f t="shared" si="11"/>
        <v>0.0764446621</v>
      </c>
      <c r="H6" s="7">
        <f t="shared" si="11"/>
        <v>0.06927266364</v>
      </c>
      <c r="I6" s="7">
        <f t="shared" si="11"/>
        <v>0.06880317218</v>
      </c>
      <c r="J6" s="8">
        <f t="shared" si="4"/>
        <v>7086.153</v>
      </c>
      <c r="K6" s="8">
        <f t="shared" si="5"/>
        <v>3372.417531</v>
      </c>
      <c r="L6" s="8">
        <f t="shared" ref="L6:N6" si="12">C6/B6</f>
        <v>1.471253534</v>
      </c>
      <c r="M6" s="9">
        <f t="shared" si="12"/>
        <v>4816.405082</v>
      </c>
      <c r="N6" s="10">
        <f t="shared" si="12"/>
        <v>0.4759165559</v>
      </c>
      <c r="O6" s="11">
        <f>sum(I6:I10)</f>
        <v>0.2088468927</v>
      </c>
      <c r="P6" s="11">
        <f>sum(H6:H10)</f>
        <v>0.2152129084</v>
      </c>
    </row>
    <row r="7">
      <c r="A7" s="5">
        <v>6.0</v>
      </c>
      <c r="B7" s="6">
        <v>3124.0</v>
      </c>
      <c r="C7" s="6">
        <v>4330.0</v>
      </c>
      <c r="D7" s="6">
        <v>1.7169955E7</v>
      </c>
      <c r="E7" s="6">
        <v>7948270.0</v>
      </c>
      <c r="F7" s="7">
        <f t="shared" ref="F7:I7" si="13">B7/B$12</f>
        <v>0.09824826241</v>
      </c>
      <c r="G7" s="7">
        <f t="shared" si="13"/>
        <v>0.07068233758</v>
      </c>
      <c r="H7" s="7">
        <f t="shared" si="13"/>
        <v>0.05273317014</v>
      </c>
      <c r="I7" s="7">
        <f t="shared" si="13"/>
        <v>0.05094517948</v>
      </c>
      <c r="J7" s="8">
        <f t="shared" si="4"/>
        <v>5496.144366</v>
      </c>
      <c r="K7" s="8">
        <f t="shared" si="5"/>
        <v>2544.260563</v>
      </c>
      <c r="L7" s="8">
        <f t="shared" ref="L7:N7" si="14">C7/B7</f>
        <v>1.386043534</v>
      </c>
      <c r="M7" s="9">
        <f t="shared" si="14"/>
        <v>3965.347575</v>
      </c>
      <c r="N7" s="10">
        <f t="shared" si="14"/>
        <v>0.462917346</v>
      </c>
    </row>
    <row r="8">
      <c r="A8" s="5">
        <v>7.0</v>
      </c>
      <c r="B8" s="6">
        <v>3233.0</v>
      </c>
      <c r="C8" s="6">
        <v>4004.0</v>
      </c>
      <c r="D8" s="6">
        <v>1.347071E7</v>
      </c>
      <c r="E8" s="6">
        <v>6240025.0</v>
      </c>
      <c r="F8" s="7">
        <f t="shared" ref="F8:I8" si="15">B8/B$12</f>
        <v>0.1016762588</v>
      </c>
      <c r="G8" s="7">
        <f t="shared" si="15"/>
        <v>0.06536075743</v>
      </c>
      <c r="H8" s="7">
        <f t="shared" si="15"/>
        <v>0.0413718756</v>
      </c>
      <c r="I8" s="7">
        <f t="shared" si="15"/>
        <v>0.03999602349</v>
      </c>
      <c r="J8" s="8">
        <f t="shared" si="4"/>
        <v>4166.628518</v>
      </c>
      <c r="K8" s="8">
        <f t="shared" si="5"/>
        <v>1930.103619</v>
      </c>
      <c r="L8" s="8">
        <f t="shared" ref="L8:N8" si="16">C8/B8</f>
        <v>1.238478194</v>
      </c>
      <c r="M8" s="9">
        <f t="shared" si="16"/>
        <v>3364.313187</v>
      </c>
      <c r="N8" s="10">
        <f t="shared" si="16"/>
        <v>0.4632291097</v>
      </c>
    </row>
    <row r="9">
      <c r="A9" s="5">
        <v>8.0</v>
      </c>
      <c r="B9" s="6">
        <v>2996.0</v>
      </c>
      <c r="C9" s="6">
        <v>3414.0</v>
      </c>
      <c r="D9" s="6">
        <v>9381075.0</v>
      </c>
      <c r="E9" s="6">
        <v>4326685.0</v>
      </c>
      <c r="F9" s="7">
        <f t="shared" ref="F9:I9" si="17">B9/B$12</f>
        <v>0.09422272541</v>
      </c>
      <c r="G9" s="7">
        <f t="shared" si="17"/>
        <v>0.05572967679</v>
      </c>
      <c r="H9" s="7">
        <f t="shared" si="17"/>
        <v>0.028811597</v>
      </c>
      <c r="I9" s="7">
        <f t="shared" si="17"/>
        <v>0.02773229192</v>
      </c>
      <c r="J9" s="8">
        <f t="shared" si="4"/>
        <v>3131.199933</v>
      </c>
      <c r="K9" s="8">
        <f t="shared" si="5"/>
        <v>1444.153872</v>
      </c>
      <c r="L9" s="8">
        <f t="shared" ref="L9:N9" si="18">C9/B9</f>
        <v>1.139519359</v>
      </c>
      <c r="M9" s="9">
        <f t="shared" si="18"/>
        <v>2747.825132</v>
      </c>
      <c r="N9" s="10">
        <f t="shared" si="18"/>
        <v>0.4612141999</v>
      </c>
    </row>
    <row r="10">
      <c r="A10" s="5">
        <v>9.0</v>
      </c>
      <c r="B10" s="6">
        <v>3360.0</v>
      </c>
      <c r="C10" s="6">
        <v>3659.0</v>
      </c>
      <c r="D10" s="6">
        <v>7496500.0</v>
      </c>
      <c r="E10" s="6">
        <v>3334100.0</v>
      </c>
      <c r="F10" s="7">
        <f t="shared" ref="F10:I10" si="19">B10/B$12</f>
        <v>0.1056703463</v>
      </c>
      <c r="G10" s="7">
        <f t="shared" si="19"/>
        <v>0.05972902383</v>
      </c>
      <c r="H10" s="7">
        <f t="shared" si="19"/>
        <v>0.02302360198</v>
      </c>
      <c r="I10" s="7">
        <f t="shared" si="19"/>
        <v>0.02137022559</v>
      </c>
      <c r="J10" s="8">
        <f t="shared" si="4"/>
        <v>2231.10119</v>
      </c>
      <c r="K10" s="8">
        <f t="shared" si="5"/>
        <v>992.2916667</v>
      </c>
      <c r="L10" s="8">
        <f t="shared" ref="L10:N10" si="20">C10/B10</f>
        <v>1.088988095</v>
      </c>
      <c r="M10" s="9">
        <f t="shared" si="20"/>
        <v>2048.783821</v>
      </c>
      <c r="N10" s="10">
        <f t="shared" si="20"/>
        <v>0.4447542186</v>
      </c>
    </row>
    <row r="11">
      <c r="A11" s="5">
        <v>10.0</v>
      </c>
      <c r="B11" s="6">
        <v>3186.0</v>
      </c>
      <c r="C11" s="6">
        <v>3270.0</v>
      </c>
      <c r="D11" s="6">
        <v>3740550.0</v>
      </c>
      <c r="E11" s="6">
        <v>1554795.0</v>
      </c>
      <c r="F11" s="7">
        <f t="shared" ref="F11:I11" si="21">B11/B$12</f>
        <v>0.1001981319</v>
      </c>
      <c r="G11" s="7">
        <f t="shared" si="21"/>
        <v>0.05337904016</v>
      </c>
      <c r="H11" s="7">
        <f t="shared" si="21"/>
        <v>0.01148815239</v>
      </c>
      <c r="I11" s="7">
        <f t="shared" si="21"/>
        <v>0.009965603878</v>
      </c>
      <c r="J11" s="8">
        <f t="shared" si="4"/>
        <v>1174.05838</v>
      </c>
      <c r="K11" s="8">
        <f t="shared" si="5"/>
        <v>488.0084746</v>
      </c>
      <c r="L11" s="8">
        <f t="shared" ref="L11:N11" si="22">C11/B11</f>
        <v>1.026365348</v>
      </c>
      <c r="M11" s="9">
        <f t="shared" si="22"/>
        <v>1143.899083</v>
      </c>
      <c r="N11" s="10">
        <f t="shared" si="22"/>
        <v>0.4156594618</v>
      </c>
      <c r="O11" s="11">
        <f>I11</f>
        <v>0.009965603878</v>
      </c>
      <c r="P11" s="11">
        <f>H11</f>
        <v>0.01148815239</v>
      </c>
    </row>
    <row r="12">
      <c r="A12" s="5" t="s">
        <v>14</v>
      </c>
      <c r="B12" s="12">
        <f t="shared" ref="B12:E12" si="23">SUM(B1:B11)</f>
        <v>31797</v>
      </c>
      <c r="C12" s="12">
        <f t="shared" si="23"/>
        <v>61260</v>
      </c>
      <c r="D12" s="12">
        <f t="shared" si="23"/>
        <v>325600660</v>
      </c>
      <c r="E12" s="12">
        <f t="shared" si="23"/>
        <v>156016135</v>
      </c>
      <c r="F12" s="7">
        <f t="shared" ref="F12:I12" si="24">B12/B$12</f>
        <v>1</v>
      </c>
      <c r="G12" s="7">
        <f t="shared" si="24"/>
        <v>1</v>
      </c>
      <c r="H12" s="7">
        <f t="shared" si="24"/>
        <v>1</v>
      </c>
      <c r="I12" s="7">
        <f t="shared" si="24"/>
        <v>1</v>
      </c>
      <c r="J12" s="8">
        <f t="shared" si="4"/>
        <v>10239.9805</v>
      </c>
      <c r="K12" s="8">
        <f t="shared" si="5"/>
        <v>4906.630657</v>
      </c>
      <c r="L12" s="8">
        <f t="shared" ref="L12:N12" si="25">C12/B12</f>
        <v>1.926596849</v>
      </c>
      <c r="M12" s="9">
        <f t="shared" si="25"/>
        <v>5315.061378</v>
      </c>
      <c r="N12" s="10">
        <f t="shared" si="25"/>
        <v>0.4791640625</v>
      </c>
      <c r="O12" s="7">
        <f t="shared" ref="O12:P12" si="26">SUM(O2:O11)</f>
        <v>1</v>
      </c>
      <c r="P12" s="7">
        <f t="shared" si="26"/>
        <v>1</v>
      </c>
    </row>
    <row r="18"/>
    <row r="19"/>
    <row r="20"/>
    <row r="21"/>
    <row r="22"/>
    <row r="23"/>
    <row r="24"/>
    <row r="25"/>
    <row r="26"/>
    <row r="27"/>
    <row r="28"/>
    <row r="29"/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17</v>
      </c>
      <c r="B1" s="14" t="s">
        <v>18</v>
      </c>
      <c r="C1" s="14" t="s">
        <v>2</v>
      </c>
      <c r="D1" s="14" t="s">
        <v>3</v>
      </c>
      <c r="E1" s="14" t="s">
        <v>4</v>
      </c>
      <c r="F1" s="15" t="s">
        <v>19</v>
      </c>
      <c r="G1" s="16" t="s">
        <v>20</v>
      </c>
      <c r="H1" s="15" t="s">
        <v>21</v>
      </c>
      <c r="I1" s="15" t="s">
        <v>22</v>
      </c>
      <c r="J1" s="15" t="s">
        <v>23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7" t="s">
        <v>24</v>
      </c>
      <c r="B2" s="18">
        <v>2943.0</v>
      </c>
      <c r="C2" s="18">
        <v>3683.0</v>
      </c>
      <c r="D2" s="18">
        <v>2.180398E7</v>
      </c>
      <c r="E2" s="18">
        <v>1.0398135E7</v>
      </c>
      <c r="F2" s="19">
        <f t="shared" ref="F2:F17" si="2">B2/$B$2</f>
        <v>1</v>
      </c>
      <c r="G2" s="20"/>
      <c r="H2" s="21">
        <f t="shared" ref="H2:H17" si="3">D2/B2</f>
        <v>7408.759769</v>
      </c>
      <c r="I2" s="22">
        <f t="shared" ref="I2:J2" si="1">C2/B2</f>
        <v>1.251444105</v>
      </c>
      <c r="J2" s="21">
        <f t="shared" si="1"/>
        <v>5920.168341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3" t="s">
        <v>25</v>
      </c>
      <c r="B3" s="24">
        <v>346.0</v>
      </c>
      <c r="C3" s="24">
        <v>513.0</v>
      </c>
      <c r="D3" s="24">
        <v>2765015.0</v>
      </c>
      <c r="E3" s="24">
        <v>1386330.0</v>
      </c>
      <c r="F3" s="19">
        <f t="shared" si="2"/>
        <v>0.1175671084</v>
      </c>
      <c r="G3" s="19">
        <f t="shared" ref="G3:G17" si="5">1-F3</f>
        <v>0.8824328916</v>
      </c>
      <c r="H3" s="21">
        <f t="shared" si="3"/>
        <v>7991.372832</v>
      </c>
      <c r="I3" s="22">
        <f t="shared" ref="I3:J3" si="4">C3/B3</f>
        <v>1.48265896</v>
      </c>
      <c r="J3" s="21">
        <f t="shared" si="4"/>
        <v>5389.892788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3" t="s">
        <v>26</v>
      </c>
      <c r="B4" s="24">
        <v>313.0</v>
      </c>
      <c r="C4" s="24">
        <v>451.0</v>
      </c>
      <c r="D4" s="24">
        <v>2352130.0</v>
      </c>
      <c r="E4" s="24">
        <v>1173700.0</v>
      </c>
      <c r="F4" s="19">
        <f t="shared" si="2"/>
        <v>0.1063540605</v>
      </c>
      <c r="G4" s="19">
        <f t="shared" si="5"/>
        <v>0.8936459395</v>
      </c>
      <c r="H4" s="21">
        <f t="shared" si="3"/>
        <v>7514.792332</v>
      </c>
      <c r="I4" s="22">
        <f t="shared" ref="I4:J4" si="6">C4/B4</f>
        <v>1.440894569</v>
      </c>
      <c r="J4" s="21">
        <f t="shared" si="6"/>
        <v>5215.365854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3" t="s">
        <v>27</v>
      </c>
      <c r="B5" s="24">
        <v>485.0</v>
      </c>
      <c r="C5" s="24">
        <v>819.0</v>
      </c>
      <c r="D5" s="24">
        <v>4692930.0</v>
      </c>
      <c r="E5" s="24">
        <v>2335300.0</v>
      </c>
      <c r="F5" s="19">
        <f t="shared" si="2"/>
        <v>0.1647978253</v>
      </c>
      <c r="G5" s="19">
        <f t="shared" si="5"/>
        <v>0.8352021747</v>
      </c>
      <c r="H5" s="21">
        <f t="shared" si="3"/>
        <v>9676.14433</v>
      </c>
      <c r="I5" s="22">
        <f t="shared" ref="I5:J5" si="7">C5/B5</f>
        <v>1.688659794</v>
      </c>
      <c r="J5" s="21">
        <f t="shared" si="7"/>
        <v>5730.07326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3" t="s">
        <v>28</v>
      </c>
      <c r="B6" s="24">
        <v>296.0</v>
      </c>
      <c r="C6" s="24">
        <v>435.0</v>
      </c>
      <c r="D6" s="24">
        <v>2411530.0</v>
      </c>
      <c r="E6" s="24">
        <v>1161600.0</v>
      </c>
      <c r="F6" s="19">
        <f t="shared" si="2"/>
        <v>0.1005776419</v>
      </c>
      <c r="G6" s="19">
        <f t="shared" si="5"/>
        <v>0.8994223581</v>
      </c>
      <c r="H6" s="21">
        <f t="shared" si="3"/>
        <v>8147.060811</v>
      </c>
      <c r="I6" s="22">
        <f t="shared" ref="I6:J6" si="8">C6/B6</f>
        <v>1.469594595</v>
      </c>
      <c r="J6" s="21">
        <f t="shared" si="8"/>
        <v>5543.747126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3" t="s">
        <v>29</v>
      </c>
      <c r="B7" s="24">
        <v>286.0</v>
      </c>
      <c r="C7" s="24">
        <v>453.0</v>
      </c>
      <c r="D7" s="24">
        <v>2186470.0</v>
      </c>
      <c r="E7" s="24">
        <v>1074425.0</v>
      </c>
      <c r="F7" s="19">
        <f t="shared" si="2"/>
        <v>0.09717974856</v>
      </c>
      <c r="G7" s="19">
        <f t="shared" si="5"/>
        <v>0.9028202514</v>
      </c>
      <c r="H7" s="21">
        <f t="shared" si="3"/>
        <v>7645</v>
      </c>
      <c r="I7" s="22">
        <f t="shared" ref="I7:J7" si="9">C7/B7</f>
        <v>1.583916084</v>
      </c>
      <c r="J7" s="21">
        <f t="shared" si="9"/>
        <v>4826.644592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3" t="s">
        <v>30</v>
      </c>
      <c r="B8" s="24">
        <v>245.0</v>
      </c>
      <c r="C8" s="24">
        <v>396.0</v>
      </c>
      <c r="D8" s="24">
        <v>2040280.0</v>
      </c>
      <c r="E8" s="24">
        <v>988295.0</v>
      </c>
      <c r="F8" s="19">
        <f t="shared" si="2"/>
        <v>0.083248386</v>
      </c>
      <c r="G8" s="19">
        <f t="shared" si="5"/>
        <v>0.916751614</v>
      </c>
      <c r="H8" s="21">
        <f t="shared" si="3"/>
        <v>8327.673469</v>
      </c>
      <c r="I8" s="22">
        <f t="shared" ref="I8:J8" si="10">C8/B8</f>
        <v>1.616326531</v>
      </c>
      <c r="J8" s="21">
        <f t="shared" si="10"/>
        <v>5152.222222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3" t="s">
        <v>31</v>
      </c>
      <c r="B9" s="24">
        <v>420.0</v>
      </c>
      <c r="C9" s="24">
        <v>808.0</v>
      </c>
      <c r="D9" s="24">
        <v>4619175.0</v>
      </c>
      <c r="E9" s="24">
        <v>2215950.0</v>
      </c>
      <c r="F9" s="19">
        <f t="shared" si="2"/>
        <v>0.1427115189</v>
      </c>
      <c r="G9" s="19">
        <f t="shared" si="5"/>
        <v>0.8572884811</v>
      </c>
      <c r="H9" s="21">
        <f t="shared" si="3"/>
        <v>10998.03571</v>
      </c>
      <c r="I9" s="22">
        <f t="shared" ref="I9:J9" si="11">C9/B9</f>
        <v>1.923809524</v>
      </c>
      <c r="J9" s="21">
        <f t="shared" si="11"/>
        <v>5716.800743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3" t="s">
        <v>32</v>
      </c>
      <c r="B10" s="24">
        <v>312.0</v>
      </c>
      <c r="C10" s="24">
        <v>481.0</v>
      </c>
      <c r="D10" s="24">
        <v>2391565.0</v>
      </c>
      <c r="E10" s="24">
        <v>1101815.0</v>
      </c>
      <c r="F10" s="19">
        <f t="shared" si="2"/>
        <v>0.1060142712</v>
      </c>
      <c r="G10" s="19">
        <f t="shared" si="5"/>
        <v>0.8939857288</v>
      </c>
      <c r="H10" s="21">
        <f t="shared" si="3"/>
        <v>7665.272436</v>
      </c>
      <c r="I10" s="22">
        <f t="shared" ref="I10:J10" si="12">C10/B10</f>
        <v>1.541666667</v>
      </c>
      <c r="J10" s="21">
        <f t="shared" si="12"/>
        <v>4972.068607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3" t="s">
        <v>33</v>
      </c>
      <c r="B11" s="24">
        <v>281.0</v>
      </c>
      <c r="C11" s="24">
        <v>462.0</v>
      </c>
      <c r="D11" s="24">
        <v>2061895.0</v>
      </c>
      <c r="E11" s="24">
        <v>960080.0</v>
      </c>
      <c r="F11" s="19">
        <f t="shared" si="2"/>
        <v>0.0954808019</v>
      </c>
      <c r="G11" s="19">
        <f t="shared" si="5"/>
        <v>0.9045191981</v>
      </c>
      <c r="H11" s="21">
        <f t="shared" si="3"/>
        <v>7337.704626</v>
      </c>
      <c r="I11" s="22">
        <f t="shared" ref="I11:J11" si="13">C11/B11</f>
        <v>1.644128114</v>
      </c>
      <c r="J11" s="21">
        <f t="shared" si="13"/>
        <v>4462.97619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3" t="s">
        <v>34</v>
      </c>
      <c r="B12" s="24">
        <v>220.0</v>
      </c>
      <c r="C12" s="24">
        <v>384.0</v>
      </c>
      <c r="D12" s="24">
        <v>1826220.0</v>
      </c>
      <c r="E12" s="24">
        <v>838310.0</v>
      </c>
      <c r="F12" s="19">
        <f t="shared" si="2"/>
        <v>0.07475365274</v>
      </c>
      <c r="G12" s="19">
        <f t="shared" si="5"/>
        <v>0.9252463473</v>
      </c>
      <c r="H12" s="21">
        <f t="shared" si="3"/>
        <v>8301</v>
      </c>
      <c r="I12" s="22">
        <f t="shared" ref="I12:J12" si="14">C12/B12</f>
        <v>1.745454545</v>
      </c>
      <c r="J12" s="21">
        <f t="shared" si="14"/>
        <v>4755.78125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3" t="s">
        <v>35</v>
      </c>
      <c r="B13" s="24">
        <v>358.0</v>
      </c>
      <c r="C13" s="24">
        <v>722.0</v>
      </c>
      <c r="D13" s="24">
        <v>3652880.0</v>
      </c>
      <c r="E13" s="24">
        <v>1726835.0</v>
      </c>
      <c r="F13" s="19">
        <f t="shared" si="2"/>
        <v>0.1216445804</v>
      </c>
      <c r="G13" s="19">
        <f t="shared" si="5"/>
        <v>0.8783554196</v>
      </c>
      <c r="H13" s="21">
        <f t="shared" si="3"/>
        <v>10203.57542</v>
      </c>
      <c r="I13" s="22">
        <f t="shared" ref="I13:J13" si="15">C13/B13</f>
        <v>2.016759777</v>
      </c>
      <c r="J13" s="21">
        <f t="shared" si="15"/>
        <v>5059.390582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3" t="s">
        <v>36</v>
      </c>
      <c r="B14" s="24">
        <v>244.0</v>
      </c>
      <c r="C14" s="24">
        <v>397.0</v>
      </c>
      <c r="D14" s="24">
        <v>1945185.0</v>
      </c>
      <c r="E14" s="24">
        <v>908215.0</v>
      </c>
      <c r="F14" s="19">
        <f t="shared" si="2"/>
        <v>0.08290859667</v>
      </c>
      <c r="G14" s="19">
        <f t="shared" si="5"/>
        <v>0.9170914033</v>
      </c>
      <c r="H14" s="21">
        <f t="shared" si="3"/>
        <v>7972.069672</v>
      </c>
      <c r="I14" s="22">
        <f t="shared" ref="I14:J14" si="16">C14/B14</f>
        <v>1.62704918</v>
      </c>
      <c r="J14" s="21">
        <f t="shared" si="16"/>
        <v>4899.710327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3" t="s">
        <v>37</v>
      </c>
      <c r="B15" s="24">
        <v>236.0</v>
      </c>
      <c r="C15" s="24">
        <v>390.0</v>
      </c>
      <c r="D15" s="24">
        <v>1882925.0</v>
      </c>
      <c r="E15" s="24">
        <v>884840.0</v>
      </c>
      <c r="F15" s="19">
        <f t="shared" si="2"/>
        <v>0.08019028203</v>
      </c>
      <c r="G15" s="19">
        <f t="shared" si="5"/>
        <v>0.919809718</v>
      </c>
      <c r="H15" s="21">
        <f t="shared" si="3"/>
        <v>7978.495763</v>
      </c>
      <c r="I15" s="22">
        <f t="shared" ref="I15:J15" si="17">C15/B15</f>
        <v>1.652542373</v>
      </c>
      <c r="J15" s="21">
        <f t="shared" si="17"/>
        <v>4828.012821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3" t="s">
        <v>38</v>
      </c>
      <c r="B16" s="24">
        <v>201.0</v>
      </c>
      <c r="C16" s="24">
        <v>338.0</v>
      </c>
      <c r="D16" s="24">
        <v>1504580.0</v>
      </c>
      <c r="E16" s="24">
        <v>703560.0</v>
      </c>
      <c r="F16" s="19">
        <f t="shared" si="2"/>
        <v>0.06829765545</v>
      </c>
      <c r="G16" s="19">
        <f t="shared" si="5"/>
        <v>0.9317023445</v>
      </c>
      <c r="H16" s="21">
        <f t="shared" si="3"/>
        <v>7485.472637</v>
      </c>
      <c r="I16" s="22">
        <f t="shared" ref="I16:J16" si="18">C16/B16</f>
        <v>1.68159204</v>
      </c>
      <c r="J16" s="21">
        <f t="shared" si="18"/>
        <v>4451.420118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5" t="s">
        <v>39</v>
      </c>
      <c r="B17" s="26">
        <v>353.0</v>
      </c>
      <c r="C17" s="26">
        <v>657.0</v>
      </c>
      <c r="D17" s="26">
        <v>3447070.0</v>
      </c>
      <c r="E17" s="26">
        <v>1627065.0</v>
      </c>
      <c r="F17" s="27">
        <f t="shared" si="2"/>
        <v>0.1199456337</v>
      </c>
      <c r="G17" s="27">
        <f t="shared" si="5"/>
        <v>0.8800543663</v>
      </c>
      <c r="H17" s="28">
        <f t="shared" si="3"/>
        <v>9765.070822</v>
      </c>
      <c r="I17" s="29">
        <f t="shared" ref="I17:J17" si="19">C17/B17</f>
        <v>1.861189802</v>
      </c>
      <c r="J17" s="28">
        <f t="shared" si="19"/>
        <v>5246.681887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40</v>
      </c>
      <c r="B1" s="4"/>
      <c r="C1" s="4"/>
      <c r="D1" s="4"/>
      <c r="E1" s="31"/>
      <c r="F1" s="4"/>
      <c r="G1" s="4"/>
      <c r="H1" s="4"/>
      <c r="I1" s="4"/>
      <c r="J1" s="4"/>
      <c r="K1" s="30" t="s">
        <v>41</v>
      </c>
      <c r="L1" s="4"/>
      <c r="M1" s="4"/>
      <c r="N1" s="4"/>
      <c r="O1" s="4"/>
      <c r="P1" s="4"/>
      <c r="Q1" s="4"/>
      <c r="R1" s="4"/>
      <c r="S1" s="4"/>
      <c r="T1" s="4"/>
      <c r="U1" s="30" t="s">
        <v>42</v>
      </c>
      <c r="V1" s="4"/>
      <c r="W1" s="4"/>
      <c r="X1" s="4"/>
      <c r="Y1" s="4"/>
      <c r="Z1" s="4"/>
      <c r="AA1" s="4"/>
      <c r="AB1" s="4"/>
      <c r="AC1" s="4"/>
    </row>
    <row r="2">
      <c r="A2" s="14" t="s">
        <v>17</v>
      </c>
      <c r="B2" s="14" t="s">
        <v>18</v>
      </c>
      <c r="C2" s="14" t="s">
        <v>2</v>
      </c>
      <c r="D2" s="14" t="s">
        <v>3</v>
      </c>
      <c r="E2" s="32" t="s">
        <v>4</v>
      </c>
      <c r="F2" s="15" t="s">
        <v>19</v>
      </c>
      <c r="G2" s="15" t="s">
        <v>21</v>
      </c>
      <c r="H2" s="15" t="s">
        <v>22</v>
      </c>
      <c r="I2" s="15" t="s">
        <v>23</v>
      </c>
      <c r="J2" s="4"/>
      <c r="K2" s="14" t="s">
        <v>17</v>
      </c>
      <c r="L2" s="14" t="s">
        <v>18</v>
      </c>
      <c r="M2" s="14" t="s">
        <v>2</v>
      </c>
      <c r="N2" s="14" t="s">
        <v>3</v>
      </c>
      <c r="O2" s="14" t="s">
        <v>4</v>
      </c>
      <c r="P2" s="15" t="s">
        <v>19</v>
      </c>
      <c r="Q2" s="15" t="s">
        <v>21</v>
      </c>
      <c r="R2" s="15" t="s">
        <v>22</v>
      </c>
      <c r="S2" s="15" t="s">
        <v>23</v>
      </c>
      <c r="T2" s="4"/>
      <c r="U2" s="14" t="s">
        <v>17</v>
      </c>
      <c r="V2" s="14" t="s">
        <v>18</v>
      </c>
      <c r="W2" s="14" t="s">
        <v>2</v>
      </c>
      <c r="X2" s="14" t="s">
        <v>3</v>
      </c>
      <c r="Y2" s="14" t="s">
        <v>4</v>
      </c>
      <c r="Z2" s="15" t="s">
        <v>19</v>
      </c>
      <c r="AA2" s="15" t="s">
        <v>21</v>
      </c>
      <c r="AB2" s="15" t="s">
        <v>22</v>
      </c>
      <c r="AC2" s="15" t="s">
        <v>23</v>
      </c>
    </row>
    <row r="3">
      <c r="A3" s="23" t="s">
        <v>26</v>
      </c>
      <c r="B3" s="24">
        <v>2842.0</v>
      </c>
      <c r="C3" s="24">
        <v>3593.0</v>
      </c>
      <c r="D3" s="24">
        <v>1.8866045E7</v>
      </c>
      <c r="E3" s="33">
        <v>9389215.0</v>
      </c>
      <c r="F3" s="34">
        <f t="shared" ref="F3:F16" si="2">B3/$B$3</f>
        <v>1</v>
      </c>
      <c r="G3" s="21">
        <f t="shared" ref="G3:G16" si="3">D3/B3</f>
        <v>6638.298733</v>
      </c>
      <c r="H3" s="22">
        <f t="shared" ref="H3:I3" si="1">C3/B3</f>
        <v>1.264250528</v>
      </c>
      <c r="I3" s="21">
        <f t="shared" si="1"/>
        <v>5250.777901</v>
      </c>
      <c r="J3" s="4"/>
      <c r="K3" s="35"/>
      <c r="L3" s="36"/>
      <c r="M3" s="36"/>
      <c r="N3" s="24">
        <v>0.0</v>
      </c>
      <c r="O3" s="24">
        <v>0.0</v>
      </c>
      <c r="P3" s="37"/>
      <c r="Q3" s="38"/>
      <c r="R3" s="39"/>
      <c r="S3" s="38"/>
      <c r="T3" s="4"/>
      <c r="U3" s="35"/>
      <c r="V3" s="36"/>
      <c r="W3" s="36"/>
      <c r="X3" s="24">
        <v>0.0</v>
      </c>
      <c r="Y3" s="24">
        <v>0.0</v>
      </c>
      <c r="Z3" s="37"/>
      <c r="AA3" s="38"/>
      <c r="AB3" s="39"/>
      <c r="AC3" s="38"/>
    </row>
    <row r="4">
      <c r="A4" s="23" t="s">
        <v>27</v>
      </c>
      <c r="B4" s="24">
        <v>529.0</v>
      </c>
      <c r="C4" s="24">
        <v>818.0</v>
      </c>
      <c r="D4" s="24">
        <v>4377010.0</v>
      </c>
      <c r="E4" s="33">
        <v>2173325.0</v>
      </c>
      <c r="F4" s="34">
        <f t="shared" si="2"/>
        <v>0.1861365236</v>
      </c>
      <c r="G4" s="21">
        <f t="shared" si="3"/>
        <v>8274.120983</v>
      </c>
      <c r="H4" s="22">
        <f t="shared" ref="H4:I4" si="4">C4/B4</f>
        <v>1.5463138</v>
      </c>
      <c r="I4" s="21">
        <f t="shared" si="4"/>
        <v>5350.867971</v>
      </c>
      <c r="J4" s="4"/>
      <c r="K4" s="23" t="s">
        <v>27</v>
      </c>
      <c r="L4" s="24">
        <v>6161.0</v>
      </c>
      <c r="M4" s="24">
        <v>7980.0</v>
      </c>
      <c r="N4" s="24">
        <v>5.0815985E7</v>
      </c>
      <c r="O4" s="24">
        <v>2.616405E7</v>
      </c>
      <c r="P4" s="34">
        <f t="shared" ref="P4:P16" si="7">L4/$L$4</f>
        <v>1</v>
      </c>
      <c r="Q4" s="21">
        <f t="shared" ref="Q4:Q16" si="8">N4/L4</f>
        <v>8248.009252</v>
      </c>
      <c r="R4" s="22">
        <f t="shared" ref="R4:S4" si="5">M4/L4</f>
        <v>1.295244279</v>
      </c>
      <c r="S4" s="21">
        <f t="shared" si="5"/>
        <v>6367.91792</v>
      </c>
      <c r="T4" s="4"/>
      <c r="U4" s="35"/>
      <c r="V4" s="36"/>
      <c r="W4" s="36"/>
      <c r="X4" s="24">
        <v>0.0</v>
      </c>
      <c r="Y4" s="24">
        <v>0.0</v>
      </c>
      <c r="Z4" s="37"/>
      <c r="AA4" s="38"/>
      <c r="AB4" s="39"/>
      <c r="AC4" s="38"/>
    </row>
    <row r="5">
      <c r="A5" s="23" t="s">
        <v>28</v>
      </c>
      <c r="B5" s="24">
        <v>237.0</v>
      </c>
      <c r="C5" s="24">
        <v>325.0</v>
      </c>
      <c r="D5" s="24">
        <v>1908940.0</v>
      </c>
      <c r="E5" s="33">
        <v>942755.0</v>
      </c>
      <c r="F5" s="34">
        <f t="shared" si="2"/>
        <v>0.08339197748</v>
      </c>
      <c r="G5" s="21">
        <f t="shared" si="3"/>
        <v>8054.599156</v>
      </c>
      <c r="H5" s="22">
        <f t="shared" ref="H5:I5" si="6">C5/B5</f>
        <v>1.371308017</v>
      </c>
      <c r="I5" s="21">
        <f t="shared" si="6"/>
        <v>5873.661538</v>
      </c>
      <c r="J5" s="4"/>
      <c r="K5" s="23" t="s">
        <v>28</v>
      </c>
      <c r="L5" s="24">
        <v>619.0</v>
      </c>
      <c r="M5" s="24">
        <v>939.0</v>
      </c>
      <c r="N5" s="24">
        <v>5396435.0</v>
      </c>
      <c r="O5" s="24">
        <v>2596110.0</v>
      </c>
      <c r="P5" s="34">
        <f t="shared" si="7"/>
        <v>0.1004707028</v>
      </c>
      <c r="Q5" s="21">
        <f t="shared" si="8"/>
        <v>8717.988691</v>
      </c>
      <c r="R5" s="22">
        <f t="shared" ref="R5:S5" si="9">M5/L5</f>
        <v>1.516962843</v>
      </c>
      <c r="S5" s="21">
        <f t="shared" si="9"/>
        <v>5747.00213</v>
      </c>
      <c r="T5" s="4"/>
      <c r="U5" s="35"/>
      <c r="V5" s="36"/>
      <c r="W5" s="36"/>
      <c r="X5" s="24">
        <v>0.0</v>
      </c>
      <c r="Y5" s="24">
        <v>0.0</v>
      </c>
      <c r="Z5" s="37"/>
      <c r="AA5" s="38"/>
      <c r="AB5" s="39"/>
      <c r="AC5" s="38"/>
    </row>
    <row r="6">
      <c r="A6" s="23" t="s">
        <v>29</v>
      </c>
      <c r="B6" s="24">
        <v>318.0</v>
      </c>
      <c r="C6" s="24">
        <v>467.0</v>
      </c>
      <c r="D6" s="24">
        <v>2357300.0</v>
      </c>
      <c r="E6" s="33">
        <v>1154450.0</v>
      </c>
      <c r="F6" s="34">
        <f t="shared" si="2"/>
        <v>0.1118930331</v>
      </c>
      <c r="G6" s="21">
        <f t="shared" si="3"/>
        <v>7412.893082</v>
      </c>
      <c r="H6" s="22">
        <f t="shared" ref="H6:I6" si="10">C6/B6</f>
        <v>1.468553459</v>
      </c>
      <c r="I6" s="21">
        <f t="shared" si="10"/>
        <v>5047.751606</v>
      </c>
      <c r="J6" s="4"/>
      <c r="K6" s="23" t="s">
        <v>29</v>
      </c>
      <c r="L6" s="24">
        <v>546.0</v>
      </c>
      <c r="M6" s="24">
        <v>855.0</v>
      </c>
      <c r="N6" s="24">
        <v>4014505.0</v>
      </c>
      <c r="O6" s="24">
        <v>1990010.0</v>
      </c>
      <c r="P6" s="34">
        <f t="shared" si="7"/>
        <v>0.08862197695</v>
      </c>
      <c r="Q6" s="21">
        <f t="shared" si="8"/>
        <v>7352.57326</v>
      </c>
      <c r="R6" s="22">
        <f t="shared" ref="R6:S6" si="11">M6/L6</f>
        <v>1.565934066</v>
      </c>
      <c r="S6" s="21">
        <f t="shared" si="11"/>
        <v>4695.327485</v>
      </c>
      <c r="T6" s="4"/>
      <c r="U6" s="35"/>
      <c r="V6" s="36"/>
      <c r="W6" s="36"/>
      <c r="X6" s="24">
        <v>0.0</v>
      </c>
      <c r="Y6" s="24">
        <v>0.0</v>
      </c>
      <c r="Z6" s="37"/>
      <c r="AA6" s="38"/>
      <c r="AB6" s="39"/>
      <c r="AC6" s="38"/>
    </row>
    <row r="7">
      <c r="A7" s="23" t="s">
        <v>30</v>
      </c>
      <c r="B7" s="24">
        <v>317.0</v>
      </c>
      <c r="C7" s="24">
        <v>468.0</v>
      </c>
      <c r="D7" s="24">
        <v>2213530.0</v>
      </c>
      <c r="E7" s="33">
        <v>1063370.0</v>
      </c>
      <c r="F7" s="34">
        <f t="shared" si="2"/>
        <v>0.1115411682</v>
      </c>
      <c r="G7" s="21">
        <f t="shared" si="3"/>
        <v>6982.744479</v>
      </c>
      <c r="H7" s="22">
        <f t="shared" ref="H7:I7" si="12">C7/B7</f>
        <v>1.476340694</v>
      </c>
      <c r="I7" s="21">
        <f t="shared" si="12"/>
        <v>4729.764957</v>
      </c>
      <c r="J7" s="4"/>
      <c r="K7" s="23" t="s">
        <v>30</v>
      </c>
      <c r="L7" s="24">
        <v>451.0</v>
      </c>
      <c r="M7" s="24">
        <v>696.0</v>
      </c>
      <c r="N7" s="24">
        <v>3515930.0</v>
      </c>
      <c r="O7" s="24">
        <v>1742015.0</v>
      </c>
      <c r="P7" s="34">
        <f t="shared" si="7"/>
        <v>0.07320240221</v>
      </c>
      <c r="Q7" s="21">
        <f t="shared" si="8"/>
        <v>7795.853659</v>
      </c>
      <c r="R7" s="22">
        <f t="shared" ref="R7:S7" si="13">M7/L7</f>
        <v>1.543237251</v>
      </c>
      <c r="S7" s="21">
        <f t="shared" si="13"/>
        <v>5051.623563</v>
      </c>
      <c r="T7" s="4"/>
      <c r="U7" s="35"/>
      <c r="V7" s="36"/>
      <c r="W7" s="36"/>
      <c r="X7" s="24">
        <v>0.0</v>
      </c>
      <c r="Y7" s="24">
        <v>0.0</v>
      </c>
      <c r="Z7" s="37"/>
      <c r="AA7" s="38"/>
      <c r="AB7" s="39"/>
      <c r="AC7" s="38"/>
    </row>
    <row r="8">
      <c r="A8" s="23" t="s">
        <v>31</v>
      </c>
      <c r="B8" s="24">
        <v>366.0</v>
      </c>
      <c r="C8" s="24">
        <v>615.0</v>
      </c>
      <c r="D8" s="24">
        <v>3017685.0</v>
      </c>
      <c r="E8" s="33">
        <v>1435610.0</v>
      </c>
      <c r="F8" s="34">
        <f t="shared" si="2"/>
        <v>0.1287825475</v>
      </c>
      <c r="G8" s="21">
        <f t="shared" si="3"/>
        <v>8245.040984</v>
      </c>
      <c r="H8" s="22">
        <f t="shared" ref="H8:I8" si="14">C8/B8</f>
        <v>1.680327869</v>
      </c>
      <c r="I8" s="21">
        <f t="shared" si="14"/>
        <v>4906.804878</v>
      </c>
      <c r="J8" s="4"/>
      <c r="K8" s="23" t="s">
        <v>31</v>
      </c>
      <c r="L8" s="24">
        <v>939.0</v>
      </c>
      <c r="M8" s="24">
        <v>1579.0</v>
      </c>
      <c r="N8" s="24">
        <v>8754185.0</v>
      </c>
      <c r="O8" s="24">
        <v>4264700.0</v>
      </c>
      <c r="P8" s="34">
        <f t="shared" si="7"/>
        <v>0.152410323</v>
      </c>
      <c r="Q8" s="21">
        <f t="shared" si="8"/>
        <v>9322.880724</v>
      </c>
      <c r="R8" s="22">
        <f t="shared" ref="R8:S8" si="15">M8/L8</f>
        <v>1.681576145</v>
      </c>
      <c r="S8" s="21">
        <f t="shared" si="15"/>
        <v>5544.132362</v>
      </c>
      <c r="T8" s="4"/>
      <c r="U8" s="23" t="s">
        <v>31</v>
      </c>
      <c r="V8" s="24">
        <v>5881.0</v>
      </c>
      <c r="W8" s="24">
        <v>7651.0</v>
      </c>
      <c r="X8" s="24">
        <v>4.608989E7</v>
      </c>
      <c r="Y8" s="24">
        <v>2.257783E7</v>
      </c>
      <c r="Z8" s="34">
        <f t="shared" ref="Z8:Z16" si="19">V8/$V$8</f>
        <v>1</v>
      </c>
      <c r="AA8" s="21">
        <f t="shared" ref="AA8:AA16" si="20">X8/V8</f>
        <v>7837.083829</v>
      </c>
      <c r="AB8" s="22">
        <f t="shared" ref="AB8:AC8" si="16">W8/V8</f>
        <v>1.300969223</v>
      </c>
      <c r="AC8" s="21">
        <f t="shared" si="16"/>
        <v>6024.034767</v>
      </c>
    </row>
    <row r="9">
      <c r="A9" s="23" t="s">
        <v>32</v>
      </c>
      <c r="B9" s="24">
        <v>234.0</v>
      </c>
      <c r="C9" s="24">
        <v>339.0</v>
      </c>
      <c r="D9" s="24">
        <v>1575365.0</v>
      </c>
      <c r="E9" s="33">
        <v>740795.0</v>
      </c>
      <c r="F9" s="34">
        <f t="shared" si="2"/>
        <v>0.08233638283</v>
      </c>
      <c r="G9" s="21">
        <f t="shared" si="3"/>
        <v>6732.32906</v>
      </c>
      <c r="H9" s="22">
        <f t="shared" ref="H9:I9" si="17">C9/B9</f>
        <v>1.448717949</v>
      </c>
      <c r="I9" s="21">
        <f t="shared" si="17"/>
        <v>4647.094395</v>
      </c>
      <c r="J9" s="4"/>
      <c r="K9" s="23" t="s">
        <v>32</v>
      </c>
      <c r="L9" s="24">
        <v>418.0</v>
      </c>
      <c r="M9" s="24">
        <v>687.0</v>
      </c>
      <c r="N9" s="24">
        <v>3430020.0</v>
      </c>
      <c r="O9" s="24">
        <v>1596375.0</v>
      </c>
      <c r="P9" s="34">
        <f t="shared" si="7"/>
        <v>0.06784612888</v>
      </c>
      <c r="Q9" s="21">
        <f t="shared" si="8"/>
        <v>8205.789474</v>
      </c>
      <c r="R9" s="22">
        <f t="shared" ref="R9:S9" si="18">M9/L9</f>
        <v>1.64354067</v>
      </c>
      <c r="S9" s="21">
        <f t="shared" si="18"/>
        <v>4992.751092</v>
      </c>
      <c r="T9" s="4"/>
      <c r="U9" s="23" t="s">
        <v>32</v>
      </c>
      <c r="V9" s="24">
        <v>690.0</v>
      </c>
      <c r="W9" s="24">
        <v>1011.0</v>
      </c>
      <c r="X9" s="24">
        <v>5531845.0</v>
      </c>
      <c r="Y9" s="24">
        <v>2540340.0</v>
      </c>
      <c r="Z9" s="34">
        <f t="shared" si="19"/>
        <v>0.1173269852</v>
      </c>
      <c r="AA9" s="21">
        <f t="shared" si="20"/>
        <v>8017.166667</v>
      </c>
      <c r="AB9" s="22">
        <f t="shared" ref="AB9:AC9" si="21">W9/V9</f>
        <v>1.465217391</v>
      </c>
      <c r="AC9" s="21">
        <f t="shared" si="21"/>
        <v>5471.656775</v>
      </c>
    </row>
    <row r="10">
      <c r="A10" s="23" t="s">
        <v>33</v>
      </c>
      <c r="B10" s="24">
        <v>254.0</v>
      </c>
      <c r="C10" s="24">
        <v>408.0</v>
      </c>
      <c r="D10" s="24">
        <v>1804770.0</v>
      </c>
      <c r="E10" s="33">
        <v>868560.0</v>
      </c>
      <c r="F10" s="34">
        <f t="shared" si="2"/>
        <v>0.08937368051</v>
      </c>
      <c r="G10" s="21">
        <f t="shared" si="3"/>
        <v>7105.393701</v>
      </c>
      <c r="H10" s="22">
        <f t="shared" ref="H10:I10" si="22">C10/B10</f>
        <v>1.606299213</v>
      </c>
      <c r="I10" s="21">
        <f t="shared" si="22"/>
        <v>4423.455882</v>
      </c>
      <c r="J10" s="4"/>
      <c r="K10" s="23" t="s">
        <v>33</v>
      </c>
      <c r="L10" s="24">
        <v>442.0</v>
      </c>
      <c r="M10" s="24">
        <v>738.0</v>
      </c>
      <c r="N10" s="24">
        <v>3375460.0</v>
      </c>
      <c r="O10" s="24">
        <v>1614635.0</v>
      </c>
      <c r="P10" s="34">
        <f t="shared" si="7"/>
        <v>0.07174160039</v>
      </c>
      <c r="Q10" s="21">
        <f t="shared" si="8"/>
        <v>7636.78733</v>
      </c>
      <c r="R10" s="22">
        <f t="shared" ref="R10:S10" si="23">M10/L10</f>
        <v>1.669683258</v>
      </c>
      <c r="S10" s="21">
        <f t="shared" si="23"/>
        <v>4573.794038</v>
      </c>
      <c r="T10" s="4"/>
      <c r="U10" s="23" t="s">
        <v>33</v>
      </c>
      <c r="V10" s="24">
        <v>473.0</v>
      </c>
      <c r="W10" s="24">
        <v>675.0</v>
      </c>
      <c r="X10" s="24">
        <v>3571370.0</v>
      </c>
      <c r="Y10" s="24">
        <v>1677170.0</v>
      </c>
      <c r="Z10" s="34">
        <f t="shared" si="19"/>
        <v>0.08042849855</v>
      </c>
      <c r="AA10" s="21">
        <f t="shared" si="20"/>
        <v>7550.465116</v>
      </c>
      <c r="AB10" s="22">
        <f t="shared" ref="AB10:AC10" si="24">W10/V10</f>
        <v>1.427061311</v>
      </c>
      <c r="AC10" s="21">
        <f t="shared" si="24"/>
        <v>5290.918519</v>
      </c>
    </row>
    <row r="11">
      <c r="A11" s="23" t="s">
        <v>34</v>
      </c>
      <c r="B11" s="24">
        <v>269.0</v>
      </c>
      <c r="C11" s="24">
        <v>385.0</v>
      </c>
      <c r="D11" s="24">
        <v>1582735.0</v>
      </c>
      <c r="E11" s="33">
        <v>742940.0</v>
      </c>
      <c r="F11" s="34">
        <f t="shared" si="2"/>
        <v>0.09465165376</v>
      </c>
      <c r="G11" s="21">
        <f t="shared" si="3"/>
        <v>5883.773234</v>
      </c>
      <c r="H11" s="22">
        <f t="shared" ref="H11:I11" si="25">C11/B11</f>
        <v>1.431226766</v>
      </c>
      <c r="I11" s="21">
        <f t="shared" si="25"/>
        <v>4111</v>
      </c>
      <c r="J11" s="4"/>
      <c r="K11" s="23" t="s">
        <v>34</v>
      </c>
      <c r="L11" s="24">
        <v>430.0</v>
      </c>
      <c r="M11" s="24">
        <v>731.0</v>
      </c>
      <c r="N11" s="24">
        <v>3476385.0</v>
      </c>
      <c r="O11" s="24">
        <v>1640210.0</v>
      </c>
      <c r="P11" s="34">
        <f t="shared" si="7"/>
        <v>0.06979386463</v>
      </c>
      <c r="Q11" s="21">
        <f t="shared" si="8"/>
        <v>8084.616279</v>
      </c>
      <c r="R11" s="22">
        <f t="shared" ref="R11:S11" si="26">M11/L11</f>
        <v>1.7</v>
      </c>
      <c r="S11" s="21">
        <f t="shared" si="26"/>
        <v>4755.656635</v>
      </c>
      <c r="T11" s="4"/>
      <c r="U11" s="23" t="s">
        <v>34</v>
      </c>
      <c r="V11" s="24">
        <v>420.0</v>
      </c>
      <c r="W11" s="24">
        <v>601.0</v>
      </c>
      <c r="X11" s="24">
        <v>2838000.0</v>
      </c>
      <c r="Y11" s="24">
        <v>1371040.0</v>
      </c>
      <c r="Z11" s="34">
        <f t="shared" si="19"/>
        <v>0.07141642578</v>
      </c>
      <c r="AA11" s="21">
        <f t="shared" si="20"/>
        <v>6757.142857</v>
      </c>
      <c r="AB11" s="22">
        <f t="shared" ref="AB11:AC11" si="27">W11/V11</f>
        <v>1.430952381</v>
      </c>
      <c r="AC11" s="21">
        <f t="shared" si="27"/>
        <v>4722.129784</v>
      </c>
    </row>
    <row r="12">
      <c r="A12" s="23" t="s">
        <v>35</v>
      </c>
      <c r="B12" s="24">
        <v>358.0</v>
      </c>
      <c r="C12" s="24">
        <v>625.0</v>
      </c>
      <c r="D12" s="24">
        <v>3222065.0</v>
      </c>
      <c r="E12" s="33">
        <v>1519155.0</v>
      </c>
      <c r="F12" s="34">
        <f t="shared" si="2"/>
        <v>0.1259676284</v>
      </c>
      <c r="G12" s="21">
        <f t="shared" si="3"/>
        <v>9000.181564</v>
      </c>
      <c r="H12" s="22">
        <f t="shared" ref="H12:I12" si="28">C12/B12</f>
        <v>1.745810056</v>
      </c>
      <c r="I12" s="21">
        <f t="shared" si="28"/>
        <v>5155.304</v>
      </c>
      <c r="J12" s="4"/>
      <c r="K12" s="23" t="s">
        <v>35</v>
      </c>
      <c r="L12" s="24">
        <v>885.0</v>
      </c>
      <c r="M12" s="24">
        <v>1542.0</v>
      </c>
      <c r="N12" s="24">
        <v>8510590.0</v>
      </c>
      <c r="O12" s="24">
        <v>4095850.0</v>
      </c>
      <c r="P12" s="34">
        <f t="shared" si="7"/>
        <v>0.1436455121</v>
      </c>
      <c r="Q12" s="21">
        <f t="shared" si="8"/>
        <v>9616.485876</v>
      </c>
      <c r="R12" s="22">
        <f t="shared" ref="R12:S12" si="29">M12/L12</f>
        <v>1.742372881</v>
      </c>
      <c r="S12" s="21">
        <f t="shared" si="29"/>
        <v>5519.189364</v>
      </c>
      <c r="T12" s="4"/>
      <c r="U12" s="23" t="s">
        <v>35</v>
      </c>
      <c r="V12" s="24">
        <v>999.0</v>
      </c>
      <c r="W12" s="24">
        <v>1660.0</v>
      </c>
      <c r="X12" s="24">
        <v>8927160.0</v>
      </c>
      <c r="Y12" s="24">
        <v>4306665.0</v>
      </c>
      <c r="Z12" s="34">
        <f t="shared" si="19"/>
        <v>0.1698690699</v>
      </c>
      <c r="AA12" s="21">
        <f t="shared" si="20"/>
        <v>8936.096096</v>
      </c>
      <c r="AB12" s="22">
        <f t="shared" ref="AB12:AC12" si="30">W12/V12</f>
        <v>1.661661662</v>
      </c>
      <c r="AC12" s="21">
        <f t="shared" si="30"/>
        <v>5377.807229</v>
      </c>
    </row>
    <row r="13">
      <c r="A13" s="23" t="s">
        <v>36</v>
      </c>
      <c r="B13" s="24">
        <v>220.0</v>
      </c>
      <c r="C13" s="24">
        <v>323.0</v>
      </c>
      <c r="D13" s="24">
        <v>1638945.0</v>
      </c>
      <c r="E13" s="33">
        <v>766755.0</v>
      </c>
      <c r="F13" s="34">
        <f t="shared" si="2"/>
        <v>0.07741027445</v>
      </c>
      <c r="G13" s="21">
        <f t="shared" si="3"/>
        <v>7449.75</v>
      </c>
      <c r="H13" s="22">
        <f t="shared" ref="H13:I13" si="31">C13/B13</f>
        <v>1.468181818</v>
      </c>
      <c r="I13" s="21">
        <f t="shared" si="31"/>
        <v>5074.133127</v>
      </c>
      <c r="J13" s="4"/>
      <c r="K13" s="23" t="s">
        <v>36</v>
      </c>
      <c r="L13" s="24">
        <v>381.0</v>
      </c>
      <c r="M13" s="24">
        <v>625.0</v>
      </c>
      <c r="N13" s="24">
        <v>3439535.0</v>
      </c>
      <c r="O13" s="24">
        <v>1651705.0</v>
      </c>
      <c r="P13" s="34">
        <f t="shared" si="7"/>
        <v>0.06184061029</v>
      </c>
      <c r="Q13" s="21">
        <f t="shared" si="8"/>
        <v>9027.650919</v>
      </c>
      <c r="R13" s="22">
        <f t="shared" ref="R13:S13" si="32">M13/L13</f>
        <v>1.640419948</v>
      </c>
      <c r="S13" s="21">
        <f t="shared" si="32"/>
        <v>5503.256</v>
      </c>
      <c r="T13" s="4"/>
      <c r="U13" s="23" t="s">
        <v>36</v>
      </c>
      <c r="V13" s="24">
        <v>387.0</v>
      </c>
      <c r="W13" s="24">
        <v>562.0</v>
      </c>
      <c r="X13" s="24">
        <v>3135275.0</v>
      </c>
      <c r="Y13" s="24">
        <v>1509805.0</v>
      </c>
      <c r="Z13" s="34">
        <f t="shared" si="19"/>
        <v>0.06580513518</v>
      </c>
      <c r="AA13" s="21">
        <f t="shared" si="20"/>
        <v>8101.485788</v>
      </c>
      <c r="AB13" s="22">
        <f t="shared" ref="AB13:AC13" si="33">W13/V13</f>
        <v>1.452196382</v>
      </c>
      <c r="AC13" s="21">
        <f t="shared" si="33"/>
        <v>5578.781139</v>
      </c>
    </row>
    <row r="14">
      <c r="A14" s="23" t="s">
        <v>37</v>
      </c>
      <c r="B14" s="24">
        <v>224.0</v>
      </c>
      <c r="C14" s="24">
        <v>338.0</v>
      </c>
      <c r="D14" s="24">
        <v>1742675.0</v>
      </c>
      <c r="E14" s="33">
        <v>828905.0</v>
      </c>
      <c r="F14" s="34">
        <f t="shared" si="2"/>
        <v>0.07881773399</v>
      </c>
      <c r="G14" s="21">
        <f t="shared" si="3"/>
        <v>7779.799107</v>
      </c>
      <c r="H14" s="22">
        <f t="shared" ref="H14:I14" si="34">C14/B14</f>
        <v>1.508928571</v>
      </c>
      <c r="I14" s="21">
        <f t="shared" si="34"/>
        <v>5155.843195</v>
      </c>
      <c r="J14" s="4"/>
      <c r="K14" s="23" t="s">
        <v>37</v>
      </c>
      <c r="L14" s="24">
        <v>384.0</v>
      </c>
      <c r="M14" s="24">
        <v>654.0</v>
      </c>
      <c r="N14" s="24">
        <v>3467475.0</v>
      </c>
      <c r="O14" s="24">
        <v>1650495.0</v>
      </c>
      <c r="P14" s="34">
        <f t="shared" si="7"/>
        <v>0.06232754423</v>
      </c>
      <c r="Q14" s="21">
        <f t="shared" si="8"/>
        <v>9029.882813</v>
      </c>
      <c r="R14" s="22">
        <f t="shared" ref="R14:S14" si="35">M14/L14</f>
        <v>1.703125</v>
      </c>
      <c r="S14" s="21">
        <f t="shared" si="35"/>
        <v>5301.949541</v>
      </c>
      <c r="T14" s="4"/>
      <c r="U14" s="23" t="s">
        <v>37</v>
      </c>
      <c r="V14" s="24">
        <v>343.0</v>
      </c>
      <c r="W14" s="24">
        <v>522.0</v>
      </c>
      <c r="X14" s="24">
        <v>2546775.0</v>
      </c>
      <c r="Y14" s="24">
        <v>1241075.0</v>
      </c>
      <c r="Z14" s="34">
        <f t="shared" si="19"/>
        <v>0.05832341439</v>
      </c>
      <c r="AA14" s="21">
        <f t="shared" si="20"/>
        <v>7425</v>
      </c>
      <c r="AB14" s="22">
        <f t="shared" ref="AB14:AC14" si="36">W14/V14</f>
        <v>1.521865889</v>
      </c>
      <c r="AC14" s="21">
        <f t="shared" si="36"/>
        <v>4878.87931</v>
      </c>
    </row>
    <row r="15">
      <c r="A15" s="23" t="s">
        <v>38</v>
      </c>
      <c r="B15" s="24">
        <v>230.0</v>
      </c>
      <c r="C15" s="24">
        <v>349.0</v>
      </c>
      <c r="D15" s="24">
        <v>1446720.0</v>
      </c>
      <c r="E15" s="33">
        <v>692780.0</v>
      </c>
      <c r="F15" s="34">
        <f t="shared" si="2"/>
        <v>0.08092892329</v>
      </c>
      <c r="G15" s="21">
        <f t="shared" si="3"/>
        <v>6290.086957</v>
      </c>
      <c r="H15" s="22">
        <f t="shared" ref="H15:I15" si="37">C15/B15</f>
        <v>1.517391304</v>
      </c>
      <c r="I15" s="21">
        <f t="shared" si="37"/>
        <v>4145.329513</v>
      </c>
      <c r="J15" s="4"/>
      <c r="K15" s="23" t="s">
        <v>38</v>
      </c>
      <c r="L15" s="24">
        <v>351.0</v>
      </c>
      <c r="M15" s="24">
        <v>561.0</v>
      </c>
      <c r="N15" s="24">
        <v>2413840.0</v>
      </c>
      <c r="O15" s="24">
        <v>1158025.0</v>
      </c>
      <c r="P15" s="34">
        <f t="shared" si="7"/>
        <v>0.0569712709</v>
      </c>
      <c r="Q15" s="21">
        <f t="shared" si="8"/>
        <v>6877.037037</v>
      </c>
      <c r="R15" s="22">
        <f t="shared" ref="R15:S15" si="38">M15/L15</f>
        <v>1.598290598</v>
      </c>
      <c r="S15" s="21">
        <f t="shared" si="38"/>
        <v>4302.745098</v>
      </c>
      <c r="T15" s="4"/>
      <c r="U15" s="23" t="s">
        <v>38</v>
      </c>
      <c r="V15" s="24">
        <v>356.0</v>
      </c>
      <c r="W15" s="24">
        <v>518.0</v>
      </c>
      <c r="X15" s="24">
        <v>2251975.0</v>
      </c>
      <c r="Y15" s="24">
        <v>1074480.0</v>
      </c>
      <c r="Z15" s="34">
        <f t="shared" si="19"/>
        <v>0.0605339228</v>
      </c>
      <c r="AA15" s="21">
        <f t="shared" si="20"/>
        <v>6325.772472</v>
      </c>
      <c r="AB15" s="22">
        <f t="shared" ref="AB15:AC15" si="39">W15/V15</f>
        <v>1.45505618</v>
      </c>
      <c r="AC15" s="21">
        <f t="shared" si="39"/>
        <v>4347.442085</v>
      </c>
    </row>
    <row r="16">
      <c r="A16" s="25" t="s">
        <v>39</v>
      </c>
      <c r="B16" s="26">
        <v>311.0</v>
      </c>
      <c r="C16" s="26">
        <v>523.0</v>
      </c>
      <c r="D16" s="26">
        <v>2693735.0</v>
      </c>
      <c r="E16" s="40">
        <v>1293325.0</v>
      </c>
      <c r="F16" s="41">
        <f t="shared" si="2"/>
        <v>0.1094299789</v>
      </c>
      <c r="G16" s="28">
        <f t="shared" si="3"/>
        <v>8661.527331</v>
      </c>
      <c r="H16" s="29">
        <f t="shared" ref="H16:I16" si="40">C16/B16</f>
        <v>1.681672026</v>
      </c>
      <c r="I16" s="28">
        <f t="shared" si="40"/>
        <v>5150.544933</v>
      </c>
      <c r="J16" s="4"/>
      <c r="K16" s="25" t="s">
        <v>39</v>
      </c>
      <c r="L16" s="26">
        <v>743.0</v>
      </c>
      <c r="M16" s="26">
        <v>1364.0</v>
      </c>
      <c r="N16" s="26">
        <v>7542645.0</v>
      </c>
      <c r="O16" s="26">
        <v>3669875.0</v>
      </c>
      <c r="P16" s="41">
        <f t="shared" si="7"/>
        <v>0.1205973056</v>
      </c>
      <c r="Q16" s="28">
        <f t="shared" si="8"/>
        <v>10151.60834</v>
      </c>
      <c r="R16" s="29">
        <f t="shared" ref="R16:S16" si="41">M16/L16</f>
        <v>1.835800808</v>
      </c>
      <c r="S16" s="28">
        <f t="shared" si="41"/>
        <v>5529.798387</v>
      </c>
      <c r="T16" s="4"/>
      <c r="U16" s="25" t="s">
        <v>39</v>
      </c>
      <c r="V16" s="26">
        <v>778.0</v>
      </c>
      <c r="W16" s="26">
        <v>1300.0</v>
      </c>
      <c r="X16" s="26">
        <v>7285410.0</v>
      </c>
      <c r="Y16" s="26">
        <v>3469510.0</v>
      </c>
      <c r="Z16" s="41">
        <f t="shared" si="19"/>
        <v>0.1322904268</v>
      </c>
      <c r="AA16" s="28">
        <f t="shared" si="20"/>
        <v>9364.280206</v>
      </c>
      <c r="AB16" s="29">
        <f t="shared" ref="AB16:AC16" si="42">W16/V16</f>
        <v>1.670951157</v>
      </c>
      <c r="AC16" s="28">
        <f t="shared" si="42"/>
        <v>5604.161538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2" t="s">
        <v>43</v>
      </c>
      <c r="B23" s="42" t="s">
        <v>19</v>
      </c>
      <c r="C23" s="4"/>
      <c r="D23" s="4"/>
      <c r="E23" s="43" t="s">
        <v>21</v>
      </c>
      <c r="G23" s="4"/>
      <c r="H23" s="42" t="s">
        <v>22</v>
      </c>
      <c r="I23" s="4"/>
      <c r="J23" s="4"/>
      <c r="K23" s="42" t="s">
        <v>23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4" t="s">
        <v>17</v>
      </c>
      <c r="B24" s="45" t="s">
        <v>40</v>
      </c>
      <c r="C24" s="46" t="s">
        <v>41</v>
      </c>
      <c r="D24" s="47" t="s">
        <v>42</v>
      </c>
      <c r="E24" s="45" t="s">
        <v>40</v>
      </c>
      <c r="F24" s="46" t="s">
        <v>41</v>
      </c>
      <c r="G24" s="47" t="s">
        <v>42</v>
      </c>
      <c r="H24" s="45" t="s">
        <v>40</v>
      </c>
      <c r="I24" s="46" t="s">
        <v>41</v>
      </c>
      <c r="J24" s="47" t="s">
        <v>42</v>
      </c>
      <c r="K24" s="45" t="s">
        <v>40</v>
      </c>
      <c r="L24" s="46" t="s">
        <v>41</v>
      </c>
      <c r="M24" s="47" t="s">
        <v>42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8" t="s">
        <v>26</v>
      </c>
      <c r="B25" s="49">
        <f t="shared" ref="B25:B38" si="43">ifna(vlookup(A25,A2:I16,6,0),"")</f>
        <v>1</v>
      </c>
      <c r="C25" s="37" t="str">
        <f t="shared" ref="C25:C38" si="44">ifna(vlookup(A25,K2:S16,6,0),"")</f>
        <v/>
      </c>
      <c r="D25" s="50" t="str">
        <f t="shared" ref="D25:D38" si="45">ifna(vlookup(A25,U2:AC16,6,0),"")</f>
        <v/>
      </c>
      <c r="E25" s="51">
        <f t="shared" ref="E25:E38" si="46">ifna(vlookup(A25,A2:I16,7,0),"")</f>
        <v>6638.298733</v>
      </c>
      <c r="F25" s="38" t="str">
        <f t="shared" ref="F25:F38" si="47">ifna(vlookup(A25,K2:S16,7,0),"")</f>
        <v/>
      </c>
      <c r="G25" s="52" t="str">
        <f t="shared" ref="G25:G38" si="48">ifna(vlookup(A25,U2:AC16,7,0),"")</f>
        <v/>
      </c>
      <c r="H25" s="53">
        <f t="shared" ref="H25:H38" si="49">ifna(vlookup(A25,A2:I16,8,0),"")</f>
        <v>1.264250528</v>
      </c>
      <c r="I25" s="39" t="str">
        <f t="shared" ref="I25:I38" si="50">ifna(vlookup(A25,K2:S16,8,0),"")</f>
        <v/>
      </c>
      <c r="J25" s="54" t="str">
        <f t="shared" ref="J25:J38" si="51">ifna(vlookup(A25,U2:AC16,8,0),"")</f>
        <v/>
      </c>
      <c r="K25" s="51">
        <f t="shared" ref="K25:K38" si="52">ifna(vlookup(A25,A2:I16,9,0),"")</f>
        <v>5250.777901</v>
      </c>
      <c r="L25" s="38" t="str">
        <f t="shared" ref="L25:L38" si="53">ifna(vlookup(A25,K2:S16,9,0),"")</f>
        <v/>
      </c>
      <c r="M25" s="52" t="str">
        <f t="shared" ref="M25:M38" si="54">ifna(vlookup(A25,U2:AC16,9,0),"")</f>
        <v/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8" t="s">
        <v>27</v>
      </c>
      <c r="B26" s="49">
        <f t="shared" si="43"/>
        <v>0.1861365236</v>
      </c>
      <c r="C26" s="34">
        <f t="shared" si="44"/>
        <v>1</v>
      </c>
      <c r="D26" s="50" t="str">
        <f t="shared" si="45"/>
        <v/>
      </c>
      <c r="E26" s="51">
        <f t="shared" si="46"/>
        <v>8274.120983</v>
      </c>
      <c r="F26" s="21">
        <f t="shared" si="47"/>
        <v>8248.009252</v>
      </c>
      <c r="G26" s="52" t="str">
        <f t="shared" si="48"/>
        <v/>
      </c>
      <c r="H26" s="53">
        <f t="shared" si="49"/>
        <v>1.5463138</v>
      </c>
      <c r="I26" s="22">
        <f t="shared" si="50"/>
        <v>1.295244279</v>
      </c>
      <c r="J26" s="54" t="str">
        <f t="shared" si="51"/>
        <v/>
      </c>
      <c r="K26" s="51">
        <f t="shared" si="52"/>
        <v>5350.867971</v>
      </c>
      <c r="L26" s="21">
        <f t="shared" si="53"/>
        <v>6367.91792</v>
      </c>
      <c r="M26" s="52" t="str">
        <f t="shared" si="54"/>
        <v/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8" t="s">
        <v>28</v>
      </c>
      <c r="B27" s="49">
        <f t="shared" si="43"/>
        <v>0.08339197748</v>
      </c>
      <c r="C27" s="34">
        <f t="shared" si="44"/>
        <v>0.1004707028</v>
      </c>
      <c r="D27" s="50" t="str">
        <f t="shared" si="45"/>
        <v/>
      </c>
      <c r="E27" s="51">
        <f t="shared" si="46"/>
        <v>8054.599156</v>
      </c>
      <c r="F27" s="21">
        <f t="shared" si="47"/>
        <v>8717.988691</v>
      </c>
      <c r="G27" s="52" t="str">
        <f t="shared" si="48"/>
        <v/>
      </c>
      <c r="H27" s="53">
        <f t="shared" si="49"/>
        <v>1.371308017</v>
      </c>
      <c r="I27" s="22">
        <f t="shared" si="50"/>
        <v>1.516962843</v>
      </c>
      <c r="J27" s="54" t="str">
        <f t="shared" si="51"/>
        <v/>
      </c>
      <c r="K27" s="51">
        <f t="shared" si="52"/>
        <v>5873.661538</v>
      </c>
      <c r="L27" s="21">
        <f t="shared" si="53"/>
        <v>5747.00213</v>
      </c>
      <c r="M27" s="52" t="str">
        <f t="shared" si="54"/>
        <v/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8" t="s">
        <v>29</v>
      </c>
      <c r="B28" s="49">
        <f t="shared" si="43"/>
        <v>0.1118930331</v>
      </c>
      <c r="C28" s="34">
        <f t="shared" si="44"/>
        <v>0.08862197695</v>
      </c>
      <c r="D28" s="50" t="str">
        <f t="shared" si="45"/>
        <v/>
      </c>
      <c r="E28" s="51">
        <f t="shared" si="46"/>
        <v>7412.893082</v>
      </c>
      <c r="F28" s="21">
        <f t="shared" si="47"/>
        <v>7352.57326</v>
      </c>
      <c r="G28" s="52" t="str">
        <f t="shared" si="48"/>
        <v/>
      </c>
      <c r="H28" s="53">
        <f t="shared" si="49"/>
        <v>1.468553459</v>
      </c>
      <c r="I28" s="22">
        <f t="shared" si="50"/>
        <v>1.565934066</v>
      </c>
      <c r="J28" s="54" t="str">
        <f t="shared" si="51"/>
        <v/>
      </c>
      <c r="K28" s="51">
        <f t="shared" si="52"/>
        <v>5047.751606</v>
      </c>
      <c r="L28" s="21">
        <f t="shared" si="53"/>
        <v>4695.327485</v>
      </c>
      <c r="M28" s="52" t="str">
        <f t="shared" si="54"/>
        <v/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8" t="s">
        <v>30</v>
      </c>
      <c r="B29" s="49">
        <f t="shared" si="43"/>
        <v>0.1115411682</v>
      </c>
      <c r="C29" s="34">
        <f t="shared" si="44"/>
        <v>0.07320240221</v>
      </c>
      <c r="D29" s="50" t="str">
        <f t="shared" si="45"/>
        <v/>
      </c>
      <c r="E29" s="51">
        <f t="shared" si="46"/>
        <v>6982.744479</v>
      </c>
      <c r="F29" s="21">
        <f t="shared" si="47"/>
        <v>7795.853659</v>
      </c>
      <c r="G29" s="52" t="str">
        <f t="shared" si="48"/>
        <v/>
      </c>
      <c r="H29" s="53">
        <f t="shared" si="49"/>
        <v>1.476340694</v>
      </c>
      <c r="I29" s="22">
        <f t="shared" si="50"/>
        <v>1.543237251</v>
      </c>
      <c r="J29" s="54" t="str">
        <f t="shared" si="51"/>
        <v/>
      </c>
      <c r="K29" s="51">
        <f t="shared" si="52"/>
        <v>4729.764957</v>
      </c>
      <c r="L29" s="21">
        <f t="shared" si="53"/>
        <v>5051.623563</v>
      </c>
      <c r="M29" s="52" t="str">
        <f t="shared" si="54"/>
        <v/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8" t="s">
        <v>31</v>
      </c>
      <c r="B30" s="49">
        <f t="shared" si="43"/>
        <v>0.1287825475</v>
      </c>
      <c r="C30" s="34">
        <f t="shared" si="44"/>
        <v>0.152410323</v>
      </c>
      <c r="D30" s="55">
        <f t="shared" si="45"/>
        <v>1</v>
      </c>
      <c r="E30" s="51">
        <f t="shared" si="46"/>
        <v>8245.040984</v>
      </c>
      <c r="F30" s="21">
        <f t="shared" si="47"/>
        <v>9322.880724</v>
      </c>
      <c r="G30" s="56">
        <f t="shared" si="48"/>
        <v>7837.083829</v>
      </c>
      <c r="H30" s="53">
        <f t="shared" si="49"/>
        <v>1.680327869</v>
      </c>
      <c r="I30" s="22">
        <f t="shared" si="50"/>
        <v>1.681576145</v>
      </c>
      <c r="J30" s="57">
        <f t="shared" si="51"/>
        <v>1.300969223</v>
      </c>
      <c r="K30" s="51">
        <f t="shared" si="52"/>
        <v>4906.804878</v>
      </c>
      <c r="L30" s="21">
        <f t="shared" si="53"/>
        <v>5544.132362</v>
      </c>
      <c r="M30" s="56">
        <f t="shared" si="54"/>
        <v>6024.034767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8" t="s">
        <v>32</v>
      </c>
      <c r="B31" s="49">
        <f t="shared" si="43"/>
        <v>0.08233638283</v>
      </c>
      <c r="C31" s="34">
        <f t="shared" si="44"/>
        <v>0.06784612888</v>
      </c>
      <c r="D31" s="55">
        <f t="shared" si="45"/>
        <v>0.1173269852</v>
      </c>
      <c r="E31" s="51">
        <f t="shared" si="46"/>
        <v>6732.32906</v>
      </c>
      <c r="F31" s="21">
        <f t="shared" si="47"/>
        <v>8205.789474</v>
      </c>
      <c r="G31" s="56">
        <f t="shared" si="48"/>
        <v>8017.166667</v>
      </c>
      <c r="H31" s="53">
        <f t="shared" si="49"/>
        <v>1.448717949</v>
      </c>
      <c r="I31" s="22">
        <f t="shared" si="50"/>
        <v>1.64354067</v>
      </c>
      <c r="J31" s="57">
        <f t="shared" si="51"/>
        <v>1.465217391</v>
      </c>
      <c r="K31" s="51">
        <f t="shared" si="52"/>
        <v>4647.094395</v>
      </c>
      <c r="L31" s="21">
        <f t="shared" si="53"/>
        <v>4992.751092</v>
      </c>
      <c r="M31" s="56">
        <f t="shared" si="54"/>
        <v>5471.656775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8" t="s">
        <v>33</v>
      </c>
      <c r="B32" s="49">
        <f t="shared" si="43"/>
        <v>0.08937368051</v>
      </c>
      <c r="C32" s="34">
        <f t="shared" si="44"/>
        <v>0.07174160039</v>
      </c>
      <c r="D32" s="55">
        <f t="shared" si="45"/>
        <v>0.08042849855</v>
      </c>
      <c r="E32" s="51">
        <f t="shared" si="46"/>
        <v>7105.393701</v>
      </c>
      <c r="F32" s="21">
        <f t="shared" si="47"/>
        <v>7636.78733</v>
      </c>
      <c r="G32" s="56">
        <f t="shared" si="48"/>
        <v>7550.465116</v>
      </c>
      <c r="H32" s="53">
        <f t="shared" si="49"/>
        <v>1.606299213</v>
      </c>
      <c r="I32" s="22">
        <f t="shared" si="50"/>
        <v>1.669683258</v>
      </c>
      <c r="J32" s="57">
        <f t="shared" si="51"/>
        <v>1.427061311</v>
      </c>
      <c r="K32" s="51">
        <f t="shared" si="52"/>
        <v>4423.455882</v>
      </c>
      <c r="L32" s="21">
        <f t="shared" si="53"/>
        <v>4573.794038</v>
      </c>
      <c r="M32" s="56">
        <f t="shared" si="54"/>
        <v>5290.918519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8" t="s">
        <v>34</v>
      </c>
      <c r="B33" s="49">
        <f t="shared" si="43"/>
        <v>0.09465165376</v>
      </c>
      <c r="C33" s="34">
        <f t="shared" si="44"/>
        <v>0.06979386463</v>
      </c>
      <c r="D33" s="55">
        <f t="shared" si="45"/>
        <v>0.07141642578</v>
      </c>
      <c r="E33" s="51">
        <f t="shared" si="46"/>
        <v>5883.773234</v>
      </c>
      <c r="F33" s="21">
        <f t="shared" si="47"/>
        <v>8084.616279</v>
      </c>
      <c r="G33" s="56">
        <f t="shared" si="48"/>
        <v>6757.142857</v>
      </c>
      <c r="H33" s="53">
        <f t="shared" si="49"/>
        <v>1.431226766</v>
      </c>
      <c r="I33" s="22">
        <f t="shared" si="50"/>
        <v>1.7</v>
      </c>
      <c r="J33" s="57">
        <f t="shared" si="51"/>
        <v>1.430952381</v>
      </c>
      <c r="K33" s="51">
        <f t="shared" si="52"/>
        <v>4111</v>
      </c>
      <c r="L33" s="21">
        <f t="shared" si="53"/>
        <v>4755.656635</v>
      </c>
      <c r="M33" s="56">
        <f t="shared" si="54"/>
        <v>4722.129784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8" t="s">
        <v>35</v>
      </c>
      <c r="B34" s="49">
        <f t="shared" si="43"/>
        <v>0.1259676284</v>
      </c>
      <c r="C34" s="34">
        <f t="shared" si="44"/>
        <v>0.1436455121</v>
      </c>
      <c r="D34" s="55">
        <f t="shared" si="45"/>
        <v>0.1698690699</v>
      </c>
      <c r="E34" s="51">
        <f t="shared" si="46"/>
        <v>9000.181564</v>
      </c>
      <c r="F34" s="21">
        <f t="shared" si="47"/>
        <v>9616.485876</v>
      </c>
      <c r="G34" s="56">
        <f t="shared" si="48"/>
        <v>8936.096096</v>
      </c>
      <c r="H34" s="53">
        <f t="shared" si="49"/>
        <v>1.745810056</v>
      </c>
      <c r="I34" s="22">
        <f t="shared" si="50"/>
        <v>1.742372881</v>
      </c>
      <c r="J34" s="57">
        <f t="shared" si="51"/>
        <v>1.661661662</v>
      </c>
      <c r="K34" s="51">
        <f t="shared" si="52"/>
        <v>5155.304</v>
      </c>
      <c r="L34" s="21">
        <f t="shared" si="53"/>
        <v>5519.189364</v>
      </c>
      <c r="M34" s="56">
        <f t="shared" si="54"/>
        <v>5377.807229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8" t="s">
        <v>36</v>
      </c>
      <c r="B35" s="49">
        <f t="shared" si="43"/>
        <v>0.07741027445</v>
      </c>
      <c r="C35" s="34">
        <f t="shared" si="44"/>
        <v>0.06184061029</v>
      </c>
      <c r="D35" s="55">
        <f t="shared" si="45"/>
        <v>0.06580513518</v>
      </c>
      <c r="E35" s="51">
        <f t="shared" si="46"/>
        <v>7449.75</v>
      </c>
      <c r="F35" s="21">
        <f t="shared" si="47"/>
        <v>9027.650919</v>
      </c>
      <c r="G35" s="56">
        <f t="shared" si="48"/>
        <v>8101.485788</v>
      </c>
      <c r="H35" s="53">
        <f t="shared" si="49"/>
        <v>1.468181818</v>
      </c>
      <c r="I35" s="22">
        <f t="shared" si="50"/>
        <v>1.640419948</v>
      </c>
      <c r="J35" s="57">
        <f t="shared" si="51"/>
        <v>1.452196382</v>
      </c>
      <c r="K35" s="51">
        <f t="shared" si="52"/>
        <v>5074.133127</v>
      </c>
      <c r="L35" s="21">
        <f t="shared" si="53"/>
        <v>5503.256</v>
      </c>
      <c r="M35" s="56">
        <f t="shared" si="54"/>
        <v>5578.781139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8" t="s">
        <v>37</v>
      </c>
      <c r="B36" s="49">
        <f t="shared" si="43"/>
        <v>0.07881773399</v>
      </c>
      <c r="C36" s="34">
        <f t="shared" si="44"/>
        <v>0.06232754423</v>
      </c>
      <c r="D36" s="55">
        <f t="shared" si="45"/>
        <v>0.05832341439</v>
      </c>
      <c r="E36" s="51">
        <f t="shared" si="46"/>
        <v>7779.799107</v>
      </c>
      <c r="F36" s="21">
        <f t="shared" si="47"/>
        <v>9029.882813</v>
      </c>
      <c r="G36" s="56">
        <f t="shared" si="48"/>
        <v>7425</v>
      </c>
      <c r="H36" s="53">
        <f t="shared" si="49"/>
        <v>1.508928571</v>
      </c>
      <c r="I36" s="22">
        <f t="shared" si="50"/>
        <v>1.703125</v>
      </c>
      <c r="J36" s="57">
        <f t="shared" si="51"/>
        <v>1.521865889</v>
      </c>
      <c r="K36" s="51">
        <f t="shared" si="52"/>
        <v>5155.843195</v>
      </c>
      <c r="L36" s="21">
        <f t="shared" si="53"/>
        <v>5301.949541</v>
      </c>
      <c r="M36" s="56">
        <f t="shared" si="54"/>
        <v>4878.87931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8" t="s">
        <v>38</v>
      </c>
      <c r="B37" s="49">
        <f t="shared" si="43"/>
        <v>0.08092892329</v>
      </c>
      <c r="C37" s="34">
        <f t="shared" si="44"/>
        <v>0.0569712709</v>
      </c>
      <c r="D37" s="55">
        <f t="shared" si="45"/>
        <v>0.0605339228</v>
      </c>
      <c r="E37" s="51">
        <f t="shared" si="46"/>
        <v>6290.086957</v>
      </c>
      <c r="F37" s="21">
        <f t="shared" si="47"/>
        <v>6877.037037</v>
      </c>
      <c r="G37" s="56">
        <f t="shared" si="48"/>
        <v>6325.772472</v>
      </c>
      <c r="H37" s="53">
        <f t="shared" si="49"/>
        <v>1.517391304</v>
      </c>
      <c r="I37" s="22">
        <f t="shared" si="50"/>
        <v>1.598290598</v>
      </c>
      <c r="J37" s="57">
        <f t="shared" si="51"/>
        <v>1.45505618</v>
      </c>
      <c r="K37" s="51">
        <f t="shared" si="52"/>
        <v>4145.329513</v>
      </c>
      <c r="L37" s="21">
        <f t="shared" si="53"/>
        <v>4302.745098</v>
      </c>
      <c r="M37" s="56">
        <f t="shared" si="54"/>
        <v>4347.442085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58" t="s">
        <v>39</v>
      </c>
      <c r="B38" s="59">
        <f t="shared" si="43"/>
        <v>0.1094299789</v>
      </c>
      <c r="C38" s="41">
        <f t="shared" si="44"/>
        <v>0.1205973056</v>
      </c>
      <c r="D38" s="60">
        <f t="shared" si="45"/>
        <v>0.1322904268</v>
      </c>
      <c r="E38" s="61">
        <f t="shared" si="46"/>
        <v>8661.527331</v>
      </c>
      <c r="F38" s="28">
        <f t="shared" si="47"/>
        <v>10151.60834</v>
      </c>
      <c r="G38" s="62">
        <f t="shared" si="48"/>
        <v>9364.280206</v>
      </c>
      <c r="H38" s="63">
        <f t="shared" si="49"/>
        <v>1.681672026</v>
      </c>
      <c r="I38" s="29">
        <f t="shared" si="50"/>
        <v>1.835800808</v>
      </c>
      <c r="J38" s="64">
        <f t="shared" si="51"/>
        <v>1.670951157</v>
      </c>
      <c r="K38" s="61">
        <f t="shared" si="52"/>
        <v>5150.544933</v>
      </c>
      <c r="L38" s="28">
        <f t="shared" si="53"/>
        <v>5529.798387</v>
      </c>
      <c r="M38" s="62">
        <f t="shared" si="54"/>
        <v>5604.161538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mergeCells count="1">
    <mergeCell ref="E23:F23"/>
  </mergeCells>
  <drawing r:id="rId1"/>
</worksheet>
</file>